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ter &amp; Stats" sheetId="1" r:id="rId4"/>
    <sheet state="visible" name="Week 1 (129)" sheetId="2" r:id="rId5"/>
    <sheet state="visible" name="Week 2 (219)" sheetId="3" r:id="rId6"/>
    <sheet state="visible" name="Week 3 (226)" sheetId="4" r:id="rId7"/>
  </sheets>
  <definedNames/>
  <calcPr/>
  <extLst>
    <ext uri="GoogleSheetsCustomDataVersion2">
      <go:sheetsCustomData xmlns:go="http://customooxmlschemas.google.com/" r:id="rId8" roundtripDataChecksum="sx7+wXYaxlbM+0QQ9Y9t7Q+zeguW9G1YjkuqBnhEneg="/>
    </ext>
  </extLst>
</workbook>
</file>

<file path=xl/sharedStrings.xml><?xml version="1.0" encoding="utf-8"?>
<sst xmlns="http://schemas.openxmlformats.org/spreadsheetml/2006/main" count="390" uniqueCount="106">
  <si>
    <t>Player Info</t>
  </si>
  <si>
    <t>Games, W/L</t>
  </si>
  <si>
    <t>Points</t>
  </si>
  <si>
    <t>Ranking</t>
  </si>
  <si>
    <t>First</t>
  </si>
  <si>
    <t>Last</t>
  </si>
  <si>
    <t>Email</t>
  </si>
  <si>
    <t>Venmo</t>
  </si>
  <si>
    <t>Games Played</t>
  </si>
  <si>
    <t>Wins</t>
  </si>
  <si>
    <t>Losses</t>
  </si>
  <si>
    <t>Week 1</t>
  </si>
  <si>
    <t>Week 2</t>
  </si>
  <si>
    <t>Total Points</t>
  </si>
  <si>
    <t>Andrew</t>
  </si>
  <si>
    <t>Nix</t>
  </si>
  <si>
    <t>andrew.nix@mail.wvu.edu</t>
  </si>
  <si>
    <t>Andrew-Nix-10</t>
  </si>
  <si>
    <t>Tyler</t>
  </si>
  <si>
    <t>Lannon</t>
  </si>
  <si>
    <t>tjl00023@mix.wvu.edu</t>
  </si>
  <si>
    <t>tlannon20</t>
  </si>
  <si>
    <t>Dalton</t>
  </si>
  <si>
    <t>Wiggins</t>
  </si>
  <si>
    <t>dmw0034@mix.wvu.edu</t>
  </si>
  <si>
    <t>Daltonwiggins</t>
  </si>
  <si>
    <t>Olivia</t>
  </si>
  <si>
    <t>Irvine</t>
  </si>
  <si>
    <t>oli00001@mix.wvu.edu</t>
  </si>
  <si>
    <t>oirvine</t>
  </si>
  <si>
    <t>Levi</t>
  </si>
  <si>
    <t>Frashure</t>
  </si>
  <si>
    <t>lwf00003@mix.wvu.edu</t>
  </si>
  <si>
    <t>levifrashure</t>
  </si>
  <si>
    <t>Brian</t>
  </si>
  <si>
    <t>Woerner</t>
  </si>
  <si>
    <t>brian.woerner@mail.wvu.edu</t>
  </si>
  <si>
    <t>Brian-Woerner-2</t>
  </si>
  <si>
    <t>Homer</t>
  </si>
  <si>
    <t>Butcher</t>
  </si>
  <si>
    <t>heb00002@mix.wvu.edu</t>
  </si>
  <si>
    <t>homerbutcher</t>
  </si>
  <si>
    <t>John</t>
  </si>
  <si>
    <t>Bittinger</t>
  </si>
  <si>
    <t>jmb00063@mix.wvu.edu</t>
  </si>
  <si>
    <t>Johnnybit730</t>
  </si>
  <si>
    <t>Domenick</t>
  </si>
  <si>
    <t>Hoh</t>
  </si>
  <si>
    <t>dmh00018@mix.wvu.edu</t>
  </si>
  <si>
    <t>Domenick-Hoh</t>
  </si>
  <si>
    <t>Jared</t>
  </si>
  <si>
    <t>Behr</t>
  </si>
  <si>
    <t>jtb0032@mix.wvu.edu</t>
  </si>
  <si>
    <t>jared-behr-1</t>
  </si>
  <si>
    <t>Abraham</t>
  </si>
  <si>
    <t>Gherman</t>
  </si>
  <si>
    <t>arg00053@mix.wvu.edu</t>
  </si>
  <si>
    <t>AbrahamGherman</t>
  </si>
  <si>
    <t>Eric</t>
  </si>
  <si>
    <t>Ristey</t>
  </si>
  <si>
    <t>ejr00015@mix.wvu.edu</t>
  </si>
  <si>
    <t>EricRistey</t>
  </si>
  <si>
    <t>Demetrios</t>
  </si>
  <si>
    <t>Svingos</t>
  </si>
  <si>
    <t xml:space="preserve">dns00003@mix.wvu.edu </t>
  </si>
  <si>
    <t>DemetriosSvingos</t>
  </si>
  <si>
    <t>Robert</t>
  </si>
  <si>
    <t>Gavlik</t>
  </si>
  <si>
    <t>rg00061@mix.wvu.edu</t>
  </si>
  <si>
    <t>robertgavlik</t>
  </si>
  <si>
    <t>Ethan</t>
  </si>
  <si>
    <t>Boyd</t>
  </si>
  <si>
    <t>eb00021@mix.wvu.edu</t>
  </si>
  <si>
    <t>ehb131</t>
  </si>
  <si>
    <t>Glenn</t>
  </si>
  <si>
    <t>Eloriaga</t>
  </si>
  <si>
    <t>gre00004@mix.wvu.edu</t>
  </si>
  <si>
    <t>Glenn-Eloriaga</t>
  </si>
  <si>
    <t>Hunter</t>
  </si>
  <si>
    <t>Powell</t>
  </si>
  <si>
    <t>htp00004@mix.wvu.edu</t>
  </si>
  <si>
    <t>Nick</t>
  </si>
  <si>
    <t>Klug</t>
  </si>
  <si>
    <t xml:space="preserve">nklug@mail.wvu.edu </t>
  </si>
  <si>
    <t>Participants</t>
  </si>
  <si>
    <t>Buy-In Paid</t>
  </si>
  <si>
    <t xml:space="preserve"> </t>
  </si>
  <si>
    <t>Partners</t>
  </si>
  <si>
    <t>#</t>
  </si>
  <si>
    <t>Names</t>
  </si>
  <si>
    <t>Stats</t>
  </si>
  <si>
    <t>Match 1</t>
  </si>
  <si>
    <t>Match 2</t>
  </si>
  <si>
    <t>Match 3</t>
  </si>
  <si>
    <t>Match 4</t>
  </si>
  <si>
    <t>Total</t>
  </si>
  <si>
    <t>Matchups</t>
  </si>
  <si>
    <t>Legend</t>
  </si>
  <si>
    <t>Set</t>
  </si>
  <si>
    <t>Team1</t>
  </si>
  <si>
    <t>Team2</t>
  </si>
  <si>
    <t>Status</t>
  </si>
  <si>
    <t>Not Started</t>
  </si>
  <si>
    <t>In progress</t>
  </si>
  <si>
    <t>Completed</t>
  </si>
  <si>
    <t>Canceled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</si>
</sst>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Aptos Narrow"/>
      <scheme val="minor"/>
    </font>
    <font>
      <b/>
      <sz val="11.0"/>
      <color theme="1"/>
      <name val="Arial"/>
    </font>
    <font/>
    <font>
      <b/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sz val="11.0"/>
      <color rgb="FF000000"/>
      <name val="Arial"/>
    </font>
    <font>
      <sz val="11.0"/>
      <color rgb="FF202124"/>
      <name val="Arial"/>
    </font>
    <font>
      <sz val="11.0"/>
      <color rgb="FF1F1F1F"/>
      <name val="Roboto"/>
    </font>
    <font>
      <sz val="11.0"/>
      <color rgb="FF000000"/>
      <name val="&quot;Aptos Narrow&quot;"/>
    </font>
    <font>
      <b/>
      <color theme="1"/>
      <name val="Arial"/>
    </font>
    <font>
      <sz val="11.0"/>
      <color theme="1"/>
      <name val="Aptos Narrow"/>
    </font>
    <font>
      <b/>
      <color theme="1"/>
      <name val="Aptos Narrow"/>
    </font>
    <font>
      <color theme="1"/>
      <name val="Aptos Narrow"/>
    </font>
    <font>
      <b/>
      <color rgb="FF000000"/>
      <name val="Arial"/>
    </font>
    <font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</fills>
  <borders count="49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7" fillId="0" fontId="1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3" fillId="0" fontId="1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/>
    </xf>
    <xf borderId="9" fillId="0" fontId="4" numFmtId="0" xfId="0" applyAlignment="1" applyBorder="1" applyFont="1">
      <alignment horizontal="center" readingOrder="0"/>
    </xf>
    <xf borderId="10" fillId="0" fontId="4" numFmtId="0" xfId="0" applyAlignment="1" applyBorder="1" applyFont="1">
      <alignment horizontal="center" readingOrder="0"/>
    </xf>
    <xf borderId="11" fillId="0" fontId="5" numFmtId="0" xfId="0" applyAlignment="1" applyBorder="1" applyFont="1">
      <alignment horizontal="center" readingOrder="0"/>
    </xf>
    <xf borderId="11" fillId="0" fontId="6" numFmtId="0" xfId="0" applyAlignment="1" applyBorder="1" applyFont="1">
      <alignment horizontal="center" readingOrder="0" shrinkToFit="0" vertical="bottom" wrapText="0"/>
    </xf>
    <xf borderId="12" fillId="0" fontId="6" numFmtId="0" xfId="0" applyAlignment="1" applyBorder="1" applyFont="1">
      <alignment horizontal="center" readingOrder="0" shrinkToFit="0" vertical="bottom" wrapText="0"/>
    </xf>
    <xf borderId="10" fillId="0" fontId="4" numFmtId="0" xfId="0" applyAlignment="1" applyBorder="1" applyFont="1">
      <alignment horizontal="center"/>
    </xf>
    <xf borderId="11" fillId="0" fontId="5" numFmtId="0" xfId="0" applyAlignment="1" applyBorder="1" applyFont="1">
      <alignment horizontal="center"/>
    </xf>
    <xf borderId="13" fillId="0" fontId="4" numFmtId="0" xfId="0" applyAlignment="1" applyBorder="1" applyFont="1">
      <alignment horizontal="center"/>
    </xf>
    <xf borderId="9" fillId="0" fontId="3" numFmtId="0" xfId="0" applyAlignment="1" applyBorder="1" applyFont="1">
      <alignment horizontal="center"/>
    </xf>
    <xf borderId="14" fillId="0" fontId="4" numFmtId="0" xfId="0" applyAlignment="1" applyBorder="1" applyFont="1">
      <alignment horizontal="center" readingOrder="0"/>
    </xf>
    <xf borderId="15" fillId="0" fontId="4" numFmtId="0" xfId="0" applyAlignment="1" applyBorder="1" applyFont="1">
      <alignment horizontal="center" readingOrder="0"/>
    </xf>
    <xf borderId="16" fillId="0" fontId="5" numFmtId="0" xfId="0" applyAlignment="1" applyBorder="1" applyFont="1">
      <alignment horizontal="center" readingOrder="0"/>
    </xf>
    <xf borderId="16" fillId="0" fontId="6" numFmtId="0" xfId="0" applyAlignment="1" applyBorder="1" applyFont="1">
      <alignment horizontal="center" readingOrder="0" shrinkToFit="0" vertical="bottom" wrapText="0"/>
    </xf>
    <xf borderId="17" fillId="0" fontId="6" numFmtId="0" xfId="0" applyAlignment="1" applyBorder="1" applyFont="1">
      <alignment horizontal="center" readingOrder="0" shrinkToFit="0" vertical="bottom" wrapText="0"/>
    </xf>
    <xf borderId="15" fillId="0" fontId="4" numFmtId="0" xfId="0" applyAlignment="1" applyBorder="1" applyFont="1">
      <alignment horizontal="center"/>
    </xf>
    <xf borderId="16" fillId="0" fontId="5" numFmtId="0" xfId="0" applyAlignment="1" applyBorder="1" applyFont="1">
      <alignment horizontal="center"/>
    </xf>
    <xf borderId="18" fillId="0" fontId="4" numFmtId="0" xfId="0" applyAlignment="1" applyBorder="1" applyFont="1">
      <alignment horizontal="center"/>
    </xf>
    <xf borderId="15" fillId="2" fontId="7" numFmtId="0" xfId="0" applyAlignment="1" applyBorder="1" applyFill="1" applyFont="1">
      <alignment horizontal="center" readingOrder="0"/>
    </xf>
    <xf borderId="15" fillId="0" fontId="5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18" fillId="0" fontId="4" numFmtId="0" xfId="0" applyAlignment="1" applyBorder="1" applyFont="1">
      <alignment horizontal="center" readingOrder="0"/>
    </xf>
    <xf borderId="16" fillId="2" fontId="8" numFmtId="0" xfId="0" applyAlignment="1" applyBorder="1" applyFont="1">
      <alignment horizontal="center" readingOrder="0"/>
    </xf>
    <xf borderId="15" fillId="0" fontId="5" numFmtId="0" xfId="0" applyAlignment="1" applyBorder="1" applyFont="1">
      <alignment horizontal="center" readingOrder="0"/>
    </xf>
    <xf borderId="18" fillId="0" fontId="5" numFmtId="0" xfId="0" applyAlignment="1" applyBorder="1" applyFont="1">
      <alignment horizontal="center" readingOrder="0"/>
    </xf>
    <xf borderId="16" fillId="0" fontId="4" numFmtId="0" xfId="0" applyAlignment="1" applyBorder="1" applyFont="1">
      <alignment horizontal="center" readingOrder="0"/>
    </xf>
    <xf borderId="16" fillId="0" fontId="4" numFmtId="0" xfId="0" applyAlignment="1" applyBorder="1" applyFont="1">
      <alignment horizontal="center"/>
    </xf>
    <xf borderId="19" fillId="0" fontId="4" numFmtId="0" xfId="0" applyAlignment="1" applyBorder="1" applyFont="1">
      <alignment horizontal="center"/>
    </xf>
    <xf borderId="0" fillId="0" fontId="6" numFmtId="0" xfId="0" applyAlignment="1" applyFont="1">
      <alignment horizontal="center" readingOrder="0" shrinkToFit="0" vertical="bottom" wrapText="0"/>
    </xf>
    <xf borderId="20" fillId="0" fontId="4" numFmtId="0" xfId="0" applyAlignment="1" applyBorder="1" applyFont="1">
      <alignment horizontal="center" readingOrder="0"/>
    </xf>
    <xf borderId="21" fillId="0" fontId="4" numFmtId="0" xfId="0" applyAlignment="1" applyBorder="1" applyFont="1">
      <alignment horizontal="center" readingOrder="0"/>
    </xf>
    <xf borderId="22" fillId="0" fontId="5" numFmtId="0" xfId="0" applyAlignment="1" applyBorder="1" applyFont="1">
      <alignment horizontal="center" readingOrder="0"/>
    </xf>
    <xf borderId="22" fillId="0" fontId="6" numFmtId="0" xfId="0" applyAlignment="1" applyBorder="1" applyFont="1">
      <alignment horizontal="center" readingOrder="0" shrinkToFit="0" vertical="bottom" wrapText="0"/>
    </xf>
    <xf borderId="23" fillId="0" fontId="9" numFmtId="0" xfId="0" applyAlignment="1" applyBorder="1" applyFont="1">
      <alignment horizontal="center" shrinkToFit="0" vertical="bottom" wrapText="0"/>
    </xf>
    <xf borderId="21" fillId="0" fontId="4" numFmtId="0" xfId="0" applyAlignment="1" applyBorder="1" applyFont="1">
      <alignment horizontal="center"/>
    </xf>
    <xf borderId="24" fillId="0" fontId="5" numFmtId="0" xfId="0" applyAlignment="1" applyBorder="1" applyFont="1">
      <alignment horizontal="center" readingOrder="0"/>
    </xf>
    <xf borderId="25" fillId="0" fontId="4" numFmtId="0" xfId="0" applyAlignment="1" applyBorder="1" applyFont="1">
      <alignment horizontal="center" readingOrder="0"/>
    </xf>
    <xf borderId="26" fillId="0" fontId="3" numFmtId="0" xfId="0" applyAlignment="1" applyBorder="1" applyFont="1">
      <alignment horizontal="center"/>
    </xf>
    <xf borderId="0" fillId="0" fontId="5" numFmtId="0" xfId="0" applyFont="1"/>
    <xf borderId="0" fillId="0" fontId="5" numFmtId="0" xfId="0" applyAlignment="1" applyFont="1">
      <alignment readingOrder="0"/>
    </xf>
    <xf borderId="19" fillId="0" fontId="10" numFmtId="0" xfId="0" applyAlignment="1" applyBorder="1" applyFont="1">
      <alignment horizontal="center"/>
    </xf>
    <xf borderId="27" fillId="0" fontId="2" numFmtId="0" xfId="0" applyBorder="1" applyFont="1"/>
    <xf borderId="28" fillId="0" fontId="2" numFmtId="0" xfId="0" applyBorder="1" applyFont="1"/>
    <xf borderId="29" fillId="0" fontId="10" numFmtId="0" xfId="0" applyAlignment="1" applyBorder="1" applyFont="1">
      <alignment horizontal="center"/>
    </xf>
    <xf borderId="16" fillId="3" fontId="5" numFmtId="0" xfId="0" applyAlignment="1" applyBorder="1" applyFill="1" applyFont="1">
      <alignment readingOrder="0"/>
    </xf>
    <xf borderId="28" fillId="3" fontId="5" numFmtId="0" xfId="0" applyAlignment="1" applyBorder="1" applyFont="1">
      <alignment readingOrder="0"/>
    </xf>
    <xf borderId="16" fillId="3" fontId="5" numFmtId="0" xfId="0" applyBorder="1" applyFont="1"/>
    <xf borderId="16" fillId="0" fontId="5" numFmtId="0" xfId="0" applyBorder="1" applyFont="1"/>
    <xf borderId="16" fillId="0" fontId="11" numFmtId="0" xfId="0" applyBorder="1" applyFont="1"/>
    <xf borderId="16" fillId="0" fontId="9" numFmtId="0" xfId="0" applyAlignment="1" applyBorder="1" applyFont="1">
      <alignment shrinkToFit="0" vertical="bottom" wrapText="0"/>
    </xf>
    <xf borderId="16" fillId="0" fontId="5" numFmtId="0" xfId="0" applyAlignment="1" applyBorder="1" applyFont="1">
      <alignment readingOrder="0"/>
    </xf>
    <xf borderId="1" fillId="0" fontId="10" numFmtId="0" xfId="0" applyAlignment="1" applyBorder="1" applyFont="1">
      <alignment horizontal="center"/>
    </xf>
    <xf borderId="4" fillId="0" fontId="10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center"/>
    </xf>
    <xf borderId="13" fillId="0" fontId="10" numFmtId="0" xfId="0" applyAlignment="1" applyBorder="1" applyFont="1">
      <alignment horizontal="center" vertical="center"/>
    </xf>
    <xf borderId="30" fillId="0" fontId="2" numFmtId="0" xfId="0" applyBorder="1" applyFont="1"/>
    <xf borderId="31" fillId="0" fontId="2" numFmtId="0" xfId="0" applyBorder="1" applyFont="1"/>
    <xf borderId="32" fillId="0" fontId="10" numFmtId="0" xfId="0" applyAlignment="1" applyBorder="1" applyFont="1">
      <alignment horizontal="center"/>
    </xf>
    <xf borderId="33" fillId="0" fontId="2" numFmtId="0" xfId="0" applyBorder="1" applyFont="1"/>
    <xf borderId="34" fillId="0" fontId="2" numFmtId="0" xfId="0" applyBorder="1" applyFont="1"/>
    <xf borderId="35" fillId="0" fontId="10" numFmtId="0" xfId="0" applyAlignment="1" applyBorder="1" applyFont="1">
      <alignment horizontal="center"/>
    </xf>
    <xf borderId="36" fillId="0" fontId="10" numFmtId="0" xfId="0" applyAlignment="1" applyBorder="1" applyFont="1">
      <alignment horizontal="center"/>
    </xf>
    <xf borderId="37" fillId="0" fontId="10" numFmtId="0" xfId="0" applyAlignment="1" applyBorder="1" applyFont="1">
      <alignment horizontal="center" vertical="center"/>
    </xf>
    <xf borderId="29" fillId="0" fontId="10" numFmtId="0" xfId="0" applyAlignment="1" applyBorder="1" applyFont="1">
      <alignment horizontal="center" vertical="center"/>
    </xf>
    <xf borderId="38" fillId="0" fontId="10" numFmtId="0" xfId="0" applyAlignment="1" applyBorder="1" applyFont="1">
      <alignment horizontal="center" vertical="center"/>
    </xf>
    <xf borderId="38" fillId="0" fontId="10" numFmtId="0" xfId="0" applyAlignment="1" applyBorder="1" applyFont="1">
      <alignment horizontal="center"/>
    </xf>
    <xf borderId="26" fillId="0" fontId="10" numFmtId="0" xfId="0" applyAlignment="1" applyBorder="1" applyFont="1">
      <alignment horizontal="center"/>
    </xf>
    <xf borderId="1" fillId="4" fontId="10" numFmtId="0" xfId="0" applyAlignment="1" applyBorder="1" applyFill="1" applyFont="1">
      <alignment horizontal="center" vertical="center"/>
    </xf>
    <xf borderId="1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/>
    </xf>
    <xf borderId="4" fillId="0" fontId="12" numFmtId="0" xfId="0" applyBorder="1" applyFont="1"/>
    <xf borderId="4" fillId="0" fontId="5" numFmtId="0" xfId="0" applyBorder="1" applyFont="1"/>
    <xf borderId="39" fillId="0" fontId="2" numFmtId="0" xfId="0" applyBorder="1" applyFont="1"/>
    <xf borderId="23" fillId="0" fontId="5" numFmtId="0" xfId="0" applyAlignment="1" applyBorder="1" applyFont="1">
      <alignment horizontal="center" readingOrder="0"/>
    </xf>
    <xf borderId="40" fillId="0" fontId="2" numFmtId="0" xfId="0" applyBorder="1" applyFont="1"/>
    <xf borderId="4" fillId="5" fontId="10" numFmtId="0" xfId="0" applyAlignment="1" applyBorder="1" applyFill="1" applyFont="1">
      <alignment horizontal="center" vertical="center"/>
    </xf>
    <xf borderId="4" fillId="6" fontId="10" numFmtId="0" xfId="0" applyAlignment="1" applyBorder="1" applyFill="1" applyFont="1">
      <alignment horizontal="center" vertical="center"/>
    </xf>
    <xf borderId="4" fillId="0" fontId="10" numFmtId="0" xfId="0" applyBorder="1" applyFont="1"/>
    <xf borderId="23" fillId="0" fontId="4" numFmtId="0" xfId="0" applyAlignment="1" applyBorder="1" applyFont="1">
      <alignment horizontal="center" readingOrder="0"/>
    </xf>
    <xf borderId="4" fillId="3" fontId="10" numFmtId="0" xfId="0" applyAlignment="1" applyBorder="1" applyFont="1">
      <alignment horizontal="center" vertical="center"/>
    </xf>
    <xf borderId="4" fillId="7" fontId="10" numFmtId="0" xfId="0" applyAlignment="1" applyBorder="1" applyFill="1" applyFont="1">
      <alignment horizontal="center" vertical="center"/>
    </xf>
    <xf borderId="4" fillId="8" fontId="10" numFmtId="0" xfId="0" applyAlignment="1" applyBorder="1" applyFill="1" applyFont="1">
      <alignment horizontal="center" vertical="center"/>
    </xf>
    <xf borderId="4" fillId="9" fontId="10" numFmtId="0" xfId="0" applyAlignment="1" applyBorder="1" applyFill="1" applyFont="1">
      <alignment horizontal="center" vertical="center"/>
    </xf>
    <xf borderId="41" fillId="0" fontId="4" numFmtId="0" xfId="0" applyAlignment="1" applyBorder="1" applyFont="1">
      <alignment horizontal="center" readingOrder="0"/>
    </xf>
    <xf borderId="41" fillId="0" fontId="5" numFmtId="0" xfId="0" applyAlignment="1" applyBorder="1" applyFont="1">
      <alignment horizontal="center" readingOrder="0"/>
    </xf>
    <xf borderId="4" fillId="10" fontId="10" numFmtId="0" xfId="0" applyAlignment="1" applyBorder="1" applyFill="1" applyFont="1">
      <alignment horizontal="center" vertical="center"/>
    </xf>
    <xf borderId="10" fillId="0" fontId="11" numFmtId="0" xfId="0" applyBorder="1" applyFont="1"/>
    <xf borderId="12" fillId="0" fontId="13" numFmtId="0" xfId="0" applyBorder="1" applyFont="1"/>
    <xf borderId="4" fillId="0" fontId="13" numFmtId="0" xfId="0" applyAlignment="1" applyBorder="1" applyFont="1">
      <alignment vertical="bottom"/>
    </xf>
    <xf borderId="4" fillId="0" fontId="13" numFmtId="0" xfId="0" applyBorder="1" applyFont="1"/>
    <xf borderId="42" fillId="0" fontId="12" numFmtId="0" xfId="0" applyBorder="1" applyFont="1"/>
    <xf borderId="21" fillId="0" fontId="5" numFmtId="0" xfId="0" applyBorder="1" applyFont="1"/>
    <xf borderId="23" fillId="0" fontId="5" numFmtId="0" xfId="0" applyBorder="1" applyFont="1"/>
    <xf borderId="32" fillId="0" fontId="4" numFmtId="0" xfId="0" applyAlignment="1" applyBorder="1" applyFont="1">
      <alignment horizontal="center" vertical="bottom"/>
    </xf>
    <xf borderId="21" fillId="0" fontId="10" numFmtId="0" xfId="0" applyAlignment="1" applyBorder="1" applyFont="1">
      <alignment horizontal="center" vertical="center"/>
    </xf>
    <xf borderId="43" fillId="0" fontId="10" numFmtId="0" xfId="0" applyAlignment="1" applyBorder="1" applyFont="1">
      <alignment horizontal="center" vertical="center"/>
    </xf>
    <xf borderId="44" fillId="0" fontId="11" numFmtId="0" xfId="0" applyAlignment="1" applyBorder="1" applyFont="1">
      <alignment vertical="bottom"/>
    </xf>
    <xf borderId="45" fillId="0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1" fillId="0" fontId="10" numFmtId="0" xfId="0" applyAlignment="1" applyBorder="1" applyFont="1">
      <alignment horizontal="center" vertical="center"/>
    </xf>
    <xf borderId="10" fillId="4" fontId="14" numFmtId="0" xfId="0" applyAlignment="1" applyBorder="1" applyFont="1">
      <alignment horizontal="center" readingOrder="0" vertical="center"/>
    </xf>
    <xf borderId="12" fillId="5" fontId="14" numFmtId="0" xfId="0" applyAlignment="1" applyBorder="1" applyFont="1">
      <alignment horizontal="center" readingOrder="0" vertical="center"/>
    </xf>
    <xf borderId="42" fillId="0" fontId="2" numFmtId="0" xfId="0" applyBorder="1" applyFont="1"/>
    <xf borderId="33" fillId="3" fontId="13" numFmtId="0" xfId="0" applyBorder="1" applyFont="1"/>
    <xf borderId="15" fillId="9" fontId="11" numFmtId="0" xfId="0" applyAlignment="1" applyBorder="1" applyFont="1">
      <alignment vertical="bottom"/>
    </xf>
    <xf borderId="17" fillId="0" fontId="4" numFmtId="0" xfId="0" applyAlignment="1" applyBorder="1" applyFont="1">
      <alignment horizontal="center" vertical="bottom"/>
    </xf>
    <xf borderId="46" fillId="0" fontId="2" numFmtId="0" xfId="0" applyBorder="1" applyFont="1"/>
    <xf borderId="44" fillId="6" fontId="14" numFmtId="0" xfId="0" applyAlignment="1" applyBorder="1" applyFont="1">
      <alignment horizontal="center" readingOrder="0" vertical="center"/>
    </xf>
    <xf borderId="45" fillId="3" fontId="14" numFmtId="0" xfId="0" applyAlignment="1" applyBorder="1" applyFont="1">
      <alignment horizontal="center" readingOrder="0" vertical="center"/>
    </xf>
    <xf borderId="15" fillId="3" fontId="11" numFmtId="0" xfId="0" applyAlignment="1" applyBorder="1" applyFont="1">
      <alignment vertical="bottom"/>
    </xf>
    <xf borderId="15" fillId="7" fontId="14" numFmtId="0" xfId="0" applyAlignment="1" applyBorder="1" applyFont="1">
      <alignment horizontal="center" readingOrder="0" vertical="center"/>
    </xf>
    <xf borderId="17" fillId="8" fontId="14" numFmtId="0" xfId="0" applyAlignment="1" applyBorder="1" applyFont="1">
      <alignment horizontal="center" readingOrder="0" vertical="center"/>
    </xf>
    <xf borderId="21" fillId="4" fontId="11" numFmtId="0" xfId="0" applyAlignment="1" applyBorder="1" applyFont="1">
      <alignment vertical="bottom"/>
    </xf>
    <xf borderId="23" fillId="0" fontId="4" numFmtId="0" xfId="0" applyAlignment="1" applyBorder="1" applyFont="1">
      <alignment horizontal="center"/>
    </xf>
    <xf borderId="12" fillId="9" fontId="14" numFmtId="0" xfId="0" applyAlignment="1" applyBorder="1" applyFont="1">
      <alignment horizontal="center" readingOrder="0" vertical="center"/>
    </xf>
    <xf borderId="0" fillId="0" fontId="11" numFmtId="0" xfId="0" applyAlignment="1" applyFont="1">
      <alignment vertical="bottom"/>
    </xf>
    <xf borderId="44" fillId="5" fontId="14" numFmtId="0" xfId="0" applyAlignment="1" applyBorder="1" applyFont="1">
      <alignment horizontal="center" readingOrder="0" vertical="center"/>
    </xf>
    <xf borderId="45" fillId="6" fontId="1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/>
    </xf>
    <xf borderId="15" fillId="3" fontId="14" numFmtId="0" xfId="0" applyAlignment="1" applyBorder="1" applyFont="1">
      <alignment horizontal="center" readingOrder="0" vertical="center"/>
    </xf>
    <xf borderId="17" fillId="7" fontId="14" numFmtId="0" xfId="0" applyAlignment="1" applyBorder="1" applyFont="1">
      <alignment horizontal="center" readingOrder="0" vertical="center"/>
    </xf>
    <xf borderId="10" fillId="8" fontId="14" numFmtId="0" xfId="0" applyAlignment="1" applyBorder="1" applyFont="1">
      <alignment horizontal="center" readingOrder="0" vertical="center"/>
    </xf>
    <xf borderId="47" fillId="4" fontId="14" numFmtId="0" xfId="0" applyAlignment="1" applyBorder="1" applyFont="1">
      <alignment horizontal="center" readingOrder="0" vertical="center"/>
    </xf>
    <xf borderId="48" fillId="6" fontId="14" numFmtId="0" xfId="0" applyAlignment="1" applyBorder="1" applyFont="1">
      <alignment horizontal="center" readingOrder="0" vertical="center"/>
    </xf>
    <xf borderId="37" fillId="5" fontId="14" numFmtId="0" xfId="0" applyAlignment="1" applyBorder="1" applyFont="1">
      <alignment horizontal="center" readingOrder="0" vertical="center"/>
    </xf>
    <xf borderId="36" fillId="3" fontId="14" numFmtId="0" xfId="0" applyAlignment="1" applyBorder="1" applyFont="1">
      <alignment horizontal="center" readingOrder="0" vertical="center"/>
    </xf>
    <xf borderId="10" fillId="5" fontId="14" numFmtId="0" xfId="0" applyAlignment="1" applyBorder="1" applyFont="1">
      <alignment horizontal="center" readingOrder="0" vertical="center"/>
    </xf>
    <xf borderId="12" fillId="7" fontId="14" numFmtId="0" xfId="0" applyAlignment="1" applyBorder="1" applyFont="1">
      <alignment horizontal="center" readingOrder="0" vertical="center"/>
    </xf>
    <xf borderId="15" fillId="6" fontId="14" numFmtId="0" xfId="0" applyAlignment="1" applyBorder="1" applyFont="1">
      <alignment horizontal="center" readingOrder="0" vertical="center"/>
    </xf>
    <xf borderId="21" fillId="3" fontId="14" numFmtId="0" xfId="0" applyAlignment="1" applyBorder="1" applyFont="1">
      <alignment horizontal="center" readingOrder="0" vertical="center"/>
    </xf>
    <xf borderId="23" fillId="9" fontId="14" numFmtId="0" xfId="0" applyAlignment="1" applyBorder="1" applyFont="1">
      <alignment horizontal="center" readingOrder="0" vertical="center"/>
    </xf>
    <xf borderId="10" fillId="7" fontId="14" numFmtId="0" xfId="0" applyAlignment="1" applyBorder="1" applyFont="1">
      <alignment horizontal="center" readingOrder="0" vertical="center"/>
    </xf>
    <xf borderId="48" fillId="8" fontId="14" numFmtId="0" xfId="0" applyAlignment="1" applyBorder="1" applyFont="1">
      <alignment horizontal="center" readingOrder="0" vertical="center"/>
    </xf>
    <xf borderId="21" fillId="0" fontId="14" numFmtId="0" xfId="0" applyAlignment="1" applyBorder="1" applyFont="1">
      <alignment horizontal="center" readingOrder="0" vertical="center"/>
    </xf>
    <xf borderId="23" fillId="0" fontId="14" numFmtId="0" xfId="0" applyAlignment="1" applyBorder="1" applyFont="1">
      <alignment horizontal="center" readingOrder="0" vertical="center"/>
    </xf>
    <xf borderId="33" fillId="0" fontId="13" numFmtId="0" xfId="0" applyBorder="1" applyFont="1"/>
    <xf borderId="0" fillId="0" fontId="14" numFmtId="0" xfId="0" applyAlignment="1" applyFont="1">
      <alignment horizontal="center" readingOrder="0" vertical="center"/>
    </xf>
    <xf borderId="29" fillId="0" fontId="10" numFmtId="0" xfId="0" applyAlignment="1" applyBorder="1" applyFont="1">
      <alignment horizontal="center" readingOrder="0"/>
    </xf>
    <xf borderId="16" fillId="0" fontId="15" numFmtId="0" xfId="0" applyAlignment="1" applyBorder="1" applyFont="1">
      <alignment readingOrder="0"/>
    </xf>
    <xf borderId="16" fillId="6" fontId="5" numFmtId="0" xfId="0" applyAlignment="1" applyBorder="1" applyFont="1">
      <alignment readingOrder="0"/>
    </xf>
    <xf borderId="16" fillId="2" fontId="7" numFmtId="0" xfId="0" applyAlignment="1" applyBorder="1" applyFont="1">
      <alignment horizontal="center" readingOrder="0"/>
    </xf>
    <xf borderId="12" fillId="0" fontId="4" numFmtId="0" xfId="0" applyAlignment="1" applyBorder="1" applyFont="1">
      <alignment horizontal="center" readingOrder="0"/>
    </xf>
    <xf borderId="21" fillId="2" fontId="7" numFmtId="0" xfId="0" applyAlignment="1" applyBorder="1" applyFont="1">
      <alignment horizontal="center" readingOrder="0"/>
    </xf>
    <xf borderId="12" fillId="8" fontId="14" numFmtId="0" xfId="0" applyAlignment="1" applyBorder="1" applyFont="1">
      <alignment horizontal="center" readingOrder="0" vertical="center"/>
    </xf>
    <xf borderId="45" fillId="7" fontId="14" numFmtId="0" xfId="0" applyAlignment="1" applyBorder="1" applyFont="1">
      <alignment horizontal="center" readingOrder="0" vertical="center"/>
    </xf>
    <xf borderId="17" fillId="3" fontId="14" numFmtId="0" xfId="0" applyAlignment="1" applyBorder="1" applyFont="1">
      <alignment horizontal="center" readingOrder="0" vertical="center"/>
    </xf>
    <xf borderId="44" fillId="8" fontId="14" numFmtId="0" xfId="0" applyAlignment="1" applyBorder="1" applyFont="1">
      <alignment horizontal="center" readingOrder="0" vertical="center"/>
    </xf>
    <xf borderId="15" fillId="5" fontId="14" numFmtId="0" xfId="0" applyAlignment="1" applyBorder="1" applyFont="1">
      <alignment horizontal="center" readingOrder="0" vertical="center"/>
    </xf>
    <xf borderId="17" fillId="6" fontId="14" numFmtId="0" xfId="0" applyAlignment="1" applyBorder="1" applyFont="1">
      <alignment horizontal="center" readingOrder="0" vertical="center"/>
    </xf>
    <xf borderId="12" fillId="3" fontId="14" numFmtId="0" xfId="0" applyAlignment="1" applyBorder="1" applyFont="1">
      <alignment horizontal="center" readingOrder="0" vertical="center"/>
    </xf>
    <xf borderId="47" fillId="7" fontId="14" numFmtId="0" xfId="0" applyAlignment="1" applyBorder="1" applyFont="1">
      <alignment horizontal="center" readingOrder="0" vertical="center"/>
    </xf>
    <xf borderId="37" fillId="8" fontId="14" numFmtId="0" xfId="0" applyAlignment="1" applyBorder="1" applyFont="1">
      <alignment horizontal="center" readingOrder="0" vertical="center"/>
    </xf>
    <xf borderId="36" fillId="5" fontId="14" numFmtId="0" xfId="0" applyAlignment="1" applyBorder="1" applyFont="1">
      <alignment horizontal="center" readingOrder="0" vertical="center"/>
    </xf>
    <xf borderId="12" fillId="6" fontId="14" numFmtId="0" xfId="0" applyAlignment="1" applyBorder="1" applyFont="1">
      <alignment horizontal="center" readingOrder="0" vertical="center"/>
    </xf>
    <xf borderId="17" fillId="5" fontId="14" numFmtId="0" xfId="0" applyAlignment="1" applyBorder="1" applyFont="1">
      <alignment horizontal="center" readingOrder="0" vertical="center"/>
    </xf>
    <xf borderId="21" fillId="7" fontId="14" numFmtId="0" xfId="0" applyAlignment="1" applyBorder="1" applyFont="1">
      <alignment horizontal="center" readingOrder="0" vertical="center"/>
    </xf>
    <xf borderId="23" fillId="8" fontId="14" numFmtId="0" xfId="0" applyAlignment="1" applyBorder="1" applyFont="1">
      <alignment horizontal="center" readingOrder="0" vertical="center"/>
    </xf>
    <xf borderId="10" fillId="0" fontId="14" numFmtId="0" xfId="0" applyAlignment="1" applyBorder="1" applyFont="1">
      <alignment horizontal="center" readingOrder="0" vertical="center"/>
    </xf>
    <xf borderId="12" fillId="0" fontId="14" numFmtId="0" xfId="0" applyAlignment="1" applyBorder="1" applyFont="1">
      <alignment horizontal="center" readingOrder="0" vertical="center"/>
    </xf>
    <xf borderId="44" fillId="0" fontId="14" numFmtId="0" xfId="0" applyAlignment="1" applyBorder="1" applyFont="1">
      <alignment horizontal="center" readingOrder="0" vertical="center"/>
    </xf>
    <xf borderId="45" fillId="0" fontId="14" numFmtId="0" xfId="0" applyAlignment="1" applyBorder="1" applyFont="1">
      <alignment horizontal="center" readingOrder="0" vertical="center"/>
    </xf>
    <xf borderId="15" fillId="0" fontId="14" numFmtId="0" xfId="0" applyAlignment="1" applyBorder="1" applyFont="1">
      <alignment horizontal="center" readingOrder="0" vertical="center"/>
    </xf>
    <xf borderId="17" fillId="0" fontId="14" numFmtId="0" xfId="0" applyAlignment="1" applyBorder="1" applyFont="1">
      <alignment horizontal="center" readingOrder="0" vertical="center"/>
    </xf>
    <xf borderId="47" fillId="0" fontId="14" numFmtId="0" xfId="0" applyAlignment="1" applyBorder="1" applyFont="1">
      <alignment horizontal="center" readingOrder="0" vertical="center"/>
    </xf>
    <xf borderId="48" fillId="0" fontId="14" numFmtId="0" xfId="0" applyAlignment="1" applyBorder="1" applyFont="1">
      <alignment horizontal="center" readingOrder="0" vertical="center"/>
    </xf>
    <xf borderId="37" fillId="0" fontId="14" numFmtId="0" xfId="0" applyAlignment="1" applyBorder="1" applyFont="1">
      <alignment horizontal="center" readingOrder="0" vertical="center"/>
    </xf>
    <xf borderId="36" fillId="0" fontId="1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38"/>
    <col customWidth="1" min="3" max="3" width="13.5"/>
    <col customWidth="1" min="4" max="4" width="24.88"/>
    <col customWidth="1" min="5" max="5" width="22.5"/>
    <col customWidth="1" min="6" max="6" width="13.5"/>
    <col customWidth="1" min="7" max="7" width="5.75"/>
    <col customWidth="1" min="8" max="8" width="7.13"/>
    <col customWidth="1" min="9" max="10" width="8.75"/>
    <col customWidth="1" min="11" max="11" width="11.38"/>
    <col customWidth="1" min="12" max="27" width="8.63"/>
  </cols>
  <sheetData>
    <row r="1">
      <c r="A1" s="1" t="s">
        <v>0</v>
      </c>
      <c r="B1" s="2"/>
      <c r="C1" s="2"/>
      <c r="D1" s="2"/>
      <c r="E1" s="3"/>
      <c r="F1" s="4" t="s">
        <v>1</v>
      </c>
      <c r="G1" s="2"/>
      <c r="H1" s="3"/>
      <c r="I1" s="4" t="s">
        <v>2</v>
      </c>
      <c r="J1" s="2"/>
      <c r="K1" s="3"/>
    </row>
    <row r="2">
      <c r="A2" s="5" t="s">
        <v>3</v>
      </c>
      <c r="B2" s="6" t="s">
        <v>4</v>
      </c>
      <c r="C2" s="7" t="s">
        <v>5</v>
      </c>
      <c r="D2" s="7" t="s">
        <v>6</v>
      </c>
      <c r="E2" s="8" t="s">
        <v>7</v>
      </c>
      <c r="F2" s="9" t="s">
        <v>8</v>
      </c>
      <c r="G2" s="7" t="s">
        <v>9</v>
      </c>
      <c r="H2" s="10" t="s">
        <v>10</v>
      </c>
      <c r="I2" s="11" t="s">
        <v>11</v>
      </c>
      <c r="J2" s="12" t="s">
        <v>12</v>
      </c>
      <c r="K2" s="13" t="s">
        <v>13</v>
      </c>
    </row>
    <row r="3">
      <c r="A3" s="14">
        <v>1.0</v>
      </c>
      <c r="B3" s="15" t="s">
        <v>14</v>
      </c>
      <c r="C3" s="16" t="s">
        <v>15</v>
      </c>
      <c r="D3" s="17" t="s">
        <v>16</v>
      </c>
      <c r="E3" s="18" t="s">
        <v>17</v>
      </c>
      <c r="F3" s="19">
        <f t="shared" ref="F3:F20" si="1">sum(G3:H3)</f>
        <v>8</v>
      </c>
      <c r="G3" s="20">
        <f>sum('Week 1 (129)'!I31,'Week 2 (219)'!I29)</f>
        <v>7</v>
      </c>
      <c r="H3" s="20">
        <f>sum('Week 1 (129)'!J31,'Week 2 (219)'!J29)</f>
        <v>1</v>
      </c>
      <c r="I3" s="19">
        <f>'Week 1 (129)'!H31</f>
        <v>40</v>
      </c>
      <c r="J3" s="21">
        <f>'Week 2 (219)'!H29</f>
        <v>36</v>
      </c>
      <c r="K3" s="22">
        <f t="shared" ref="K3:K20" si="2">sum(I3:J3)</f>
        <v>76</v>
      </c>
    </row>
    <row r="4">
      <c r="A4" s="23">
        <v>2.0</v>
      </c>
      <c r="B4" s="24" t="s">
        <v>18</v>
      </c>
      <c r="C4" s="25" t="s">
        <v>19</v>
      </c>
      <c r="D4" s="26" t="s">
        <v>20</v>
      </c>
      <c r="E4" s="27" t="s">
        <v>21</v>
      </c>
      <c r="F4" s="28">
        <f t="shared" si="1"/>
        <v>8</v>
      </c>
      <c r="G4" s="29">
        <f>sum('Week 1 (129)'!I35,'Week 2 (219)'!I33)</f>
        <v>5</v>
      </c>
      <c r="H4" s="29">
        <f>sum('Week 1 (129)'!J35,'Week 2 (219)'!J33)</f>
        <v>3</v>
      </c>
      <c r="I4" s="28">
        <f>'Week 1 (129)'!H35</f>
        <v>37</v>
      </c>
      <c r="J4" s="30">
        <f>'Week 2 (219)'!H33</f>
        <v>31</v>
      </c>
      <c r="K4" s="22">
        <f t="shared" si="2"/>
        <v>68</v>
      </c>
    </row>
    <row r="5">
      <c r="A5" s="23">
        <v>3.0</v>
      </c>
      <c r="B5" s="24" t="s">
        <v>22</v>
      </c>
      <c r="C5" s="25" t="s">
        <v>23</v>
      </c>
      <c r="D5" s="26" t="s">
        <v>24</v>
      </c>
      <c r="E5" s="27" t="s">
        <v>25</v>
      </c>
      <c r="F5" s="28">
        <f t="shared" si="1"/>
        <v>8</v>
      </c>
      <c r="G5" s="29">
        <f>sum('Week 1 (129)'!I25,'Week 2 (219)'!I25)</f>
        <v>5</v>
      </c>
      <c r="H5" s="29">
        <f>sum('Week 1 (129)'!J25,'Week 2 (219)'!J25)</f>
        <v>3</v>
      </c>
      <c r="I5" s="28">
        <f>'Week 1 (129)'!H25</f>
        <v>33</v>
      </c>
      <c r="J5" s="30">
        <f>'Week 2 (219)'!H25</f>
        <v>30</v>
      </c>
      <c r="K5" s="22">
        <f t="shared" si="2"/>
        <v>63</v>
      </c>
    </row>
    <row r="6">
      <c r="A6" s="23">
        <v>4.0</v>
      </c>
      <c r="B6" s="24" t="s">
        <v>26</v>
      </c>
      <c r="C6" s="25" t="s">
        <v>27</v>
      </c>
      <c r="D6" s="26" t="s">
        <v>28</v>
      </c>
      <c r="E6" s="27" t="s">
        <v>29</v>
      </c>
      <c r="F6" s="28">
        <f t="shared" si="1"/>
        <v>8</v>
      </c>
      <c r="G6" s="29">
        <f>sum('Week 1 (129)'!I27,'Week 2 (219)'!I29)</f>
        <v>4</v>
      </c>
      <c r="H6" s="29">
        <f>sum('Week 1 (129)'!J27,'Week 2 (219)'!J29)</f>
        <v>4</v>
      </c>
      <c r="I6" s="28">
        <f>'Week 1 (129)'!H27</f>
        <v>26</v>
      </c>
      <c r="J6" s="30">
        <f>'Week 2 (219)'!H29</f>
        <v>36</v>
      </c>
      <c r="K6" s="22">
        <f t="shared" si="2"/>
        <v>62</v>
      </c>
    </row>
    <row r="7">
      <c r="A7" s="23">
        <v>5.0</v>
      </c>
      <c r="B7" s="31" t="s">
        <v>30</v>
      </c>
      <c r="C7" s="25" t="s">
        <v>31</v>
      </c>
      <c r="D7" s="26" t="s">
        <v>32</v>
      </c>
      <c r="E7" s="27" t="s">
        <v>33</v>
      </c>
      <c r="F7" s="28">
        <f t="shared" si="1"/>
        <v>8</v>
      </c>
      <c r="G7" s="29">
        <f>sum('Week 1 (129)'!I33,'Week 2 (219)'!I27)</f>
        <v>4</v>
      </c>
      <c r="H7" s="29">
        <f>sum('Week 1 (129)'!J33,'Week 2 (219)'!J27)</f>
        <v>4</v>
      </c>
      <c r="I7" s="32">
        <f>'Week 1 (129)'!H33</f>
        <v>23</v>
      </c>
      <c r="J7" s="33">
        <f>'Week 2 (219)'!H27</f>
        <v>35</v>
      </c>
      <c r="K7" s="22">
        <f t="shared" si="2"/>
        <v>58</v>
      </c>
    </row>
    <row r="8">
      <c r="A8" s="23">
        <v>6.0</v>
      </c>
      <c r="B8" s="24" t="s">
        <v>34</v>
      </c>
      <c r="C8" s="25" t="s">
        <v>35</v>
      </c>
      <c r="D8" s="26" t="s">
        <v>36</v>
      </c>
      <c r="E8" s="27" t="s">
        <v>37</v>
      </c>
      <c r="F8" s="28">
        <f t="shared" si="1"/>
        <v>8</v>
      </c>
      <c r="G8" s="29">
        <f>sum('Week 1 (129)'!I35,'Week 2 (219)'!I31)</f>
        <v>3</v>
      </c>
      <c r="H8" s="29">
        <f>sum('Week 1 (129)'!J35,'Week 2 (219)'!J31)</f>
        <v>5</v>
      </c>
      <c r="I8" s="28">
        <f>'Week 1 (129)'!H35</f>
        <v>37</v>
      </c>
      <c r="J8" s="30">
        <f>'Week 2 (219)'!H31</f>
        <v>20</v>
      </c>
      <c r="K8" s="22">
        <f t="shared" si="2"/>
        <v>57</v>
      </c>
    </row>
    <row r="9">
      <c r="A9" s="23">
        <v>7.0</v>
      </c>
      <c r="B9" s="24" t="s">
        <v>38</v>
      </c>
      <c r="C9" s="25" t="s">
        <v>39</v>
      </c>
      <c r="D9" s="26" t="s">
        <v>40</v>
      </c>
      <c r="E9" s="27" t="s">
        <v>41</v>
      </c>
      <c r="F9" s="28">
        <f t="shared" si="1"/>
        <v>8</v>
      </c>
      <c r="G9" s="29">
        <f>sum('Week 1 (129)'!I29,'Week 2 (219)'!I27)</f>
        <v>3</v>
      </c>
      <c r="H9" s="29">
        <f>sum('Week 1 (129)'!J29,'Week 2 (219)'!J27)</f>
        <v>5</v>
      </c>
      <c r="I9" s="28">
        <f>'Week 1 (129)'!H29</f>
        <v>19</v>
      </c>
      <c r="J9" s="30">
        <f>'Week 2 (219)'!H27</f>
        <v>35</v>
      </c>
      <c r="K9" s="22">
        <f t="shared" si="2"/>
        <v>54</v>
      </c>
    </row>
    <row r="10">
      <c r="A10" s="23">
        <v>8.0</v>
      </c>
      <c r="B10" s="24" t="s">
        <v>42</v>
      </c>
      <c r="C10" s="25" t="s">
        <v>43</v>
      </c>
      <c r="D10" s="26" t="s">
        <v>44</v>
      </c>
      <c r="E10" s="27" t="s">
        <v>45</v>
      </c>
      <c r="F10" s="28">
        <f t="shared" si="1"/>
        <v>8</v>
      </c>
      <c r="G10" s="29">
        <f>sum('Week 1 (129)'!I29,'Week 2 (219)'!I33)</f>
        <v>2</v>
      </c>
      <c r="H10" s="29">
        <f>sum('Week 1 (129)'!J29,'Week 2 (219)'!J33)</f>
        <v>6</v>
      </c>
      <c r="I10" s="28">
        <f>'Week 1 (129)'!H29</f>
        <v>19</v>
      </c>
      <c r="J10" s="30">
        <f>'Week 2 (219)'!H33</f>
        <v>31</v>
      </c>
      <c r="K10" s="22">
        <f t="shared" si="2"/>
        <v>50</v>
      </c>
    </row>
    <row r="11">
      <c r="A11" s="23">
        <v>9.0</v>
      </c>
      <c r="B11" s="24" t="s">
        <v>46</v>
      </c>
      <c r="C11" s="25" t="s">
        <v>47</v>
      </c>
      <c r="D11" s="26" t="s">
        <v>48</v>
      </c>
      <c r="E11" s="27" t="s">
        <v>49</v>
      </c>
      <c r="F11" s="28">
        <f t="shared" si="1"/>
        <v>8</v>
      </c>
      <c r="G11" s="29">
        <f>sum('Week 1 (129)'!I33,'Week 2 (219)'!I31)</f>
        <v>1</v>
      </c>
      <c r="H11" s="29">
        <f>sum('Week 1 (129)'!J33,'Week 2 (219)'!J31)</f>
        <v>7</v>
      </c>
      <c r="I11" s="32">
        <f>'Week 1 (129)'!H33</f>
        <v>23</v>
      </c>
      <c r="J11" s="33">
        <f>'Week 2 (219)'!H31</f>
        <v>20</v>
      </c>
      <c r="K11" s="22">
        <f t="shared" si="2"/>
        <v>43</v>
      </c>
    </row>
    <row r="12">
      <c r="A12" s="23">
        <v>10.0</v>
      </c>
      <c r="B12" s="24" t="s">
        <v>50</v>
      </c>
      <c r="C12" s="25" t="s">
        <v>51</v>
      </c>
      <c r="D12" s="26" t="s">
        <v>52</v>
      </c>
      <c r="E12" s="27" t="s">
        <v>53</v>
      </c>
      <c r="F12" s="28">
        <f t="shared" si="1"/>
        <v>4</v>
      </c>
      <c r="G12" s="29">
        <f>sum('Week 1 (129)'!I31)</f>
        <v>4</v>
      </c>
      <c r="H12" s="29">
        <f>sum('Week 1 (129)'!J31)</f>
        <v>0</v>
      </c>
      <c r="I12" s="28">
        <f>'Week 1 (129)'!H31</f>
        <v>40</v>
      </c>
      <c r="J12" s="34">
        <v>0.0</v>
      </c>
      <c r="K12" s="22">
        <f t="shared" si="2"/>
        <v>40</v>
      </c>
    </row>
    <row r="13">
      <c r="A13" s="23">
        <v>11.0</v>
      </c>
      <c r="B13" s="24" t="s">
        <v>54</v>
      </c>
      <c r="C13" s="25" t="s">
        <v>55</v>
      </c>
      <c r="D13" s="35" t="s">
        <v>56</v>
      </c>
      <c r="E13" s="27" t="s">
        <v>57</v>
      </c>
      <c r="F13" s="28">
        <f t="shared" si="1"/>
        <v>4</v>
      </c>
      <c r="G13" s="25">
        <f>sum('Week 2 (219)'!I23)</f>
        <v>2</v>
      </c>
      <c r="H13" s="25">
        <f>sum('Week 2 (219)'!J23)</f>
        <v>2</v>
      </c>
      <c r="I13" s="36">
        <v>0.0</v>
      </c>
      <c r="J13" s="37">
        <f>'Week 2 (219)'!H23</f>
        <v>34</v>
      </c>
      <c r="K13" s="22">
        <f t="shared" si="2"/>
        <v>34</v>
      </c>
    </row>
    <row r="14">
      <c r="A14" s="23">
        <v>12.0</v>
      </c>
      <c r="B14" s="24" t="s">
        <v>58</v>
      </c>
      <c r="C14" s="25" t="s">
        <v>59</v>
      </c>
      <c r="D14" s="26" t="s">
        <v>60</v>
      </c>
      <c r="E14" s="27" t="s">
        <v>61</v>
      </c>
      <c r="F14" s="28">
        <f t="shared" si="1"/>
        <v>4</v>
      </c>
      <c r="G14" s="29">
        <f>sum('Week 1 (129)'!I25)</f>
        <v>3</v>
      </c>
      <c r="H14" s="29">
        <f>sum('Week 1 (129)'!J25)</f>
        <v>1</v>
      </c>
      <c r="I14" s="28">
        <f>'Week 1 (129)'!H25</f>
        <v>33</v>
      </c>
      <c r="J14" s="34">
        <v>0.0</v>
      </c>
      <c r="K14" s="22">
        <f t="shared" si="2"/>
        <v>33</v>
      </c>
    </row>
    <row r="15">
      <c r="A15" s="23">
        <v>13.0</v>
      </c>
      <c r="B15" s="24" t="s">
        <v>62</v>
      </c>
      <c r="C15" s="25" t="s">
        <v>63</v>
      </c>
      <c r="D15" s="26" t="s">
        <v>64</v>
      </c>
      <c r="E15" s="27" t="s">
        <v>65</v>
      </c>
      <c r="F15" s="28">
        <f t="shared" si="1"/>
        <v>4</v>
      </c>
      <c r="G15" s="29">
        <f>sum('Week 1 (129)'!I23)</f>
        <v>2</v>
      </c>
      <c r="H15" s="29">
        <f>sum('Week 1 (129)'!J23)</f>
        <v>2</v>
      </c>
      <c r="I15" s="28">
        <f>'Week 1 (129)'!H23</f>
        <v>31</v>
      </c>
      <c r="J15" s="34">
        <v>0.0</v>
      </c>
      <c r="K15" s="22">
        <f t="shared" si="2"/>
        <v>31</v>
      </c>
    </row>
    <row r="16">
      <c r="A16" s="23">
        <v>13.0</v>
      </c>
      <c r="B16" s="24" t="s">
        <v>66</v>
      </c>
      <c r="C16" s="25" t="s">
        <v>67</v>
      </c>
      <c r="D16" s="26" t="s">
        <v>68</v>
      </c>
      <c r="E16" s="27" t="s">
        <v>69</v>
      </c>
      <c r="F16" s="28">
        <f t="shared" si="1"/>
        <v>4</v>
      </c>
      <c r="G16" s="29">
        <f>sum('Week 1 (129)'!I23)</f>
        <v>2</v>
      </c>
      <c r="H16" s="29">
        <f>sum('Week 1 (129)'!J23)</f>
        <v>2</v>
      </c>
      <c r="I16" s="28">
        <f>'Week 1 (129)'!H23</f>
        <v>31</v>
      </c>
      <c r="J16" s="34">
        <v>0.0</v>
      </c>
      <c r="K16" s="22">
        <f t="shared" si="2"/>
        <v>31</v>
      </c>
    </row>
    <row r="17">
      <c r="A17" s="23">
        <v>15.0</v>
      </c>
      <c r="B17" s="24" t="s">
        <v>70</v>
      </c>
      <c r="C17" s="38" t="s">
        <v>71</v>
      </c>
      <c r="D17" s="26" t="s">
        <v>72</v>
      </c>
      <c r="E17" s="27" t="s">
        <v>73</v>
      </c>
      <c r="F17" s="28">
        <f t="shared" si="1"/>
        <v>4</v>
      </c>
      <c r="G17" s="39">
        <f>sum('Week 1 (129)'!I27)</f>
        <v>1</v>
      </c>
      <c r="H17" s="40">
        <f>sum('Week 1 (129)'!J27)</f>
        <v>3</v>
      </c>
      <c r="I17" s="28">
        <f>'Week 1 (129)'!H27</f>
        <v>26</v>
      </c>
      <c r="J17" s="34">
        <v>0.0</v>
      </c>
      <c r="K17" s="22">
        <f t="shared" si="2"/>
        <v>26</v>
      </c>
    </row>
    <row r="18">
      <c r="A18" s="23">
        <v>16.0</v>
      </c>
      <c r="B18" s="31" t="s">
        <v>74</v>
      </c>
      <c r="C18" s="25" t="s">
        <v>75</v>
      </c>
      <c r="D18" s="41" t="s">
        <v>76</v>
      </c>
      <c r="E18" s="27" t="s">
        <v>77</v>
      </c>
      <c r="F18" s="28">
        <f t="shared" si="1"/>
        <v>0</v>
      </c>
      <c r="G18" s="25">
        <v>0.0</v>
      </c>
      <c r="H18" s="25">
        <v>0.0</v>
      </c>
      <c r="I18" s="36">
        <v>0.0</v>
      </c>
      <c r="J18" s="37">
        <v>0.0</v>
      </c>
      <c r="K18" s="22">
        <f t="shared" si="2"/>
        <v>0</v>
      </c>
    </row>
    <row r="19">
      <c r="A19" s="23">
        <v>16.0</v>
      </c>
      <c r="B19" s="24" t="s">
        <v>78</v>
      </c>
      <c r="C19" s="25" t="s">
        <v>79</v>
      </c>
      <c r="D19" s="26" t="s">
        <v>80</v>
      </c>
      <c r="E19" s="27"/>
      <c r="F19" s="28">
        <f t="shared" si="1"/>
        <v>0</v>
      </c>
      <c r="G19" s="25">
        <v>0.0</v>
      </c>
      <c r="H19" s="25">
        <v>0.0</v>
      </c>
      <c r="I19" s="36">
        <v>0.0</v>
      </c>
      <c r="J19" s="37">
        <v>0.0</v>
      </c>
      <c r="K19" s="22">
        <f t="shared" si="2"/>
        <v>0</v>
      </c>
    </row>
    <row r="20">
      <c r="A20" s="42">
        <v>16.0</v>
      </c>
      <c r="B20" s="43" t="s">
        <v>81</v>
      </c>
      <c r="C20" s="44" t="s">
        <v>82</v>
      </c>
      <c r="D20" s="45" t="s">
        <v>83</v>
      </c>
      <c r="E20" s="46"/>
      <c r="F20" s="47">
        <f t="shared" si="1"/>
        <v>0</v>
      </c>
      <c r="G20" s="44">
        <v>0.0</v>
      </c>
      <c r="H20" s="48">
        <v>0.0</v>
      </c>
      <c r="I20" s="43">
        <v>0.0</v>
      </c>
      <c r="J20" s="49">
        <v>0.0</v>
      </c>
      <c r="K20" s="50">
        <f t="shared" si="2"/>
        <v>0</v>
      </c>
    </row>
    <row r="21" ht="15.75" customHeight="1">
      <c r="A21" s="51"/>
      <c r="D21" s="41"/>
      <c r="J21" s="52"/>
    </row>
    <row r="22" ht="15.75" customHeight="1">
      <c r="D22" s="4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3">
    <mergeCell ref="A1:E1"/>
    <mergeCell ref="F1:H1"/>
    <mergeCell ref="I1:K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3" t="s">
        <v>84</v>
      </c>
      <c r="B1" s="54"/>
      <c r="C1" s="54"/>
      <c r="D1" s="55"/>
    </row>
    <row r="2">
      <c r="A2" s="56" t="s">
        <v>4</v>
      </c>
      <c r="B2" s="56" t="s">
        <v>5</v>
      </c>
      <c r="C2" s="56" t="s">
        <v>6</v>
      </c>
      <c r="D2" s="56" t="s">
        <v>85</v>
      </c>
    </row>
    <row r="3">
      <c r="A3" s="38" t="s">
        <v>70</v>
      </c>
      <c r="B3" s="38" t="s">
        <v>71</v>
      </c>
      <c r="C3" s="26" t="s">
        <v>72</v>
      </c>
      <c r="D3" s="57" t="s">
        <v>86</v>
      </c>
    </row>
    <row r="4">
      <c r="A4" s="38" t="s">
        <v>66</v>
      </c>
      <c r="B4" s="25" t="s">
        <v>67</v>
      </c>
      <c r="C4" s="26" t="s">
        <v>68</v>
      </c>
      <c r="D4" s="58" t="s">
        <v>86</v>
      </c>
    </row>
    <row r="5">
      <c r="A5" s="38" t="s">
        <v>38</v>
      </c>
      <c r="B5" s="25" t="s">
        <v>39</v>
      </c>
      <c r="C5" s="26" t="s">
        <v>40</v>
      </c>
      <c r="D5" s="58" t="s">
        <v>86</v>
      </c>
    </row>
    <row r="6">
      <c r="A6" s="38" t="s">
        <v>26</v>
      </c>
      <c r="B6" s="25" t="s">
        <v>27</v>
      </c>
      <c r="C6" s="26" t="s">
        <v>28</v>
      </c>
      <c r="D6" s="57" t="s">
        <v>86</v>
      </c>
    </row>
    <row r="7">
      <c r="A7" s="38" t="s">
        <v>34</v>
      </c>
      <c r="B7" s="25" t="s">
        <v>35</v>
      </c>
      <c r="C7" s="26" t="s">
        <v>36</v>
      </c>
      <c r="D7" s="57" t="s">
        <v>86</v>
      </c>
    </row>
    <row r="8">
      <c r="A8" s="38" t="s">
        <v>14</v>
      </c>
      <c r="B8" s="25" t="s">
        <v>15</v>
      </c>
      <c r="C8" s="26" t="s">
        <v>16</v>
      </c>
      <c r="D8" s="58" t="s">
        <v>86</v>
      </c>
    </row>
    <row r="9">
      <c r="A9" s="38" t="s">
        <v>62</v>
      </c>
      <c r="B9" s="25" t="s">
        <v>63</v>
      </c>
      <c r="C9" s="26" t="s">
        <v>64</v>
      </c>
      <c r="D9" s="57" t="s">
        <v>86</v>
      </c>
    </row>
    <row r="10">
      <c r="A10" s="38" t="s">
        <v>30</v>
      </c>
      <c r="B10" s="25" t="s">
        <v>31</v>
      </c>
      <c r="C10" s="26" t="s">
        <v>32</v>
      </c>
      <c r="D10" s="57" t="s">
        <v>86</v>
      </c>
    </row>
    <row r="11">
      <c r="A11" s="38" t="s">
        <v>58</v>
      </c>
      <c r="B11" s="25" t="s">
        <v>59</v>
      </c>
      <c r="C11" s="26" t="s">
        <v>60</v>
      </c>
      <c r="D11" s="57" t="s">
        <v>86</v>
      </c>
    </row>
    <row r="12">
      <c r="A12" s="38" t="s">
        <v>42</v>
      </c>
      <c r="B12" s="25" t="s">
        <v>43</v>
      </c>
      <c r="C12" s="26" t="s">
        <v>44</v>
      </c>
      <c r="D12" s="57" t="s">
        <v>86</v>
      </c>
    </row>
    <row r="13">
      <c r="A13" s="38" t="s">
        <v>46</v>
      </c>
      <c r="B13" s="25" t="s">
        <v>47</v>
      </c>
      <c r="C13" s="26" t="s">
        <v>48</v>
      </c>
      <c r="D13" s="57" t="s">
        <v>86</v>
      </c>
    </row>
    <row r="14">
      <c r="A14" s="38" t="s">
        <v>50</v>
      </c>
      <c r="B14" s="25" t="s">
        <v>51</v>
      </c>
      <c r="C14" s="26" t="s">
        <v>52</v>
      </c>
      <c r="D14" s="57" t="s">
        <v>86</v>
      </c>
    </row>
    <row r="15">
      <c r="A15" s="38" t="s">
        <v>22</v>
      </c>
      <c r="B15" s="25" t="s">
        <v>23</v>
      </c>
      <c r="C15" s="26" t="s">
        <v>24</v>
      </c>
      <c r="D15" s="59" t="s">
        <v>86</v>
      </c>
    </row>
    <row r="16">
      <c r="A16" s="38" t="s">
        <v>18</v>
      </c>
      <c r="B16" s="25" t="s">
        <v>19</v>
      </c>
      <c r="C16" s="26" t="s">
        <v>20</v>
      </c>
      <c r="D16" s="59" t="s">
        <v>86</v>
      </c>
    </row>
    <row r="17">
      <c r="A17" s="38"/>
      <c r="B17" s="25"/>
      <c r="C17" s="26"/>
      <c r="D17" s="60" t="s">
        <v>86</v>
      </c>
    </row>
    <row r="18">
      <c r="A18" s="61"/>
      <c r="B18" s="61"/>
      <c r="C18" s="62"/>
      <c r="D18" s="63" t="s">
        <v>86</v>
      </c>
    </row>
    <row r="20">
      <c r="A20" s="64" t="s">
        <v>87</v>
      </c>
      <c r="B20" s="2"/>
      <c r="C20" s="2"/>
      <c r="D20" s="2"/>
      <c r="E20" s="2"/>
      <c r="F20" s="2"/>
      <c r="G20" s="2"/>
      <c r="H20" s="2"/>
      <c r="I20" s="2"/>
      <c r="J20" s="3"/>
    </row>
    <row r="21">
      <c r="A21" s="65" t="s">
        <v>88</v>
      </c>
      <c r="B21" s="66" t="s">
        <v>89</v>
      </c>
      <c r="C21" s="3"/>
      <c r="D21" s="67" t="s">
        <v>2</v>
      </c>
      <c r="E21" s="68"/>
      <c r="F21" s="68"/>
      <c r="G21" s="68"/>
      <c r="H21" s="69"/>
      <c r="I21" s="70" t="s">
        <v>90</v>
      </c>
      <c r="J21" s="71"/>
    </row>
    <row r="22">
      <c r="A22" s="72"/>
      <c r="B22" s="73" t="s">
        <v>4</v>
      </c>
      <c r="C22" s="74" t="s">
        <v>5</v>
      </c>
      <c r="D22" s="75" t="s">
        <v>91</v>
      </c>
      <c r="E22" s="76" t="s">
        <v>92</v>
      </c>
      <c r="F22" s="77" t="s">
        <v>93</v>
      </c>
      <c r="G22" s="78" t="s">
        <v>94</v>
      </c>
      <c r="H22" s="74" t="s">
        <v>95</v>
      </c>
      <c r="I22" s="79" t="s">
        <v>9</v>
      </c>
      <c r="J22" s="79" t="s">
        <v>10</v>
      </c>
    </row>
    <row r="23">
      <c r="A23" s="80">
        <v>1.0</v>
      </c>
      <c r="B23" s="15" t="s">
        <v>66</v>
      </c>
      <c r="C23" s="81" t="s">
        <v>67</v>
      </c>
      <c r="D23" s="82">
        <v>4.0</v>
      </c>
      <c r="E23" s="83">
        <v>7.0</v>
      </c>
      <c r="F23" s="83">
        <v>10.0</v>
      </c>
      <c r="G23" s="83">
        <v>10.0</v>
      </c>
      <c r="H23" s="84">
        <f>sum(D23:G23)</f>
        <v>31</v>
      </c>
      <c r="I23" s="85">
        <f>countif(D23:G24,10)</f>
        <v>2</v>
      </c>
      <c r="J23" s="85">
        <f>4-I23</f>
        <v>2</v>
      </c>
    </row>
    <row r="24">
      <c r="A24" s="86"/>
      <c r="B24" s="43" t="s">
        <v>62</v>
      </c>
      <c r="C24" s="87" t="s">
        <v>63</v>
      </c>
      <c r="D24" s="88"/>
      <c r="E24" s="72"/>
      <c r="F24" s="72"/>
      <c r="G24" s="72"/>
      <c r="H24" s="72"/>
      <c r="I24" s="72"/>
      <c r="J24" s="72"/>
    </row>
    <row r="25">
      <c r="A25" s="89">
        <v>2.0</v>
      </c>
      <c r="B25" s="15" t="s">
        <v>58</v>
      </c>
      <c r="C25" s="81" t="s">
        <v>59</v>
      </c>
      <c r="D25" s="83">
        <v>10.0</v>
      </c>
      <c r="E25" s="83">
        <v>10.0</v>
      </c>
      <c r="F25" s="83">
        <v>10.0</v>
      </c>
      <c r="G25" s="83">
        <v>3.0</v>
      </c>
      <c r="H25" s="84">
        <f>sum(D25:G25)</f>
        <v>33</v>
      </c>
      <c r="I25" s="85">
        <f>countif(D25:G26,10)</f>
        <v>3</v>
      </c>
      <c r="J25" s="85">
        <f>4-I25</f>
        <v>1</v>
      </c>
    </row>
    <row r="26">
      <c r="A26" s="72"/>
      <c r="B26" s="43" t="s">
        <v>22</v>
      </c>
      <c r="C26" s="87" t="s">
        <v>23</v>
      </c>
      <c r="D26" s="72"/>
      <c r="E26" s="72"/>
      <c r="F26" s="72"/>
      <c r="G26" s="72"/>
      <c r="H26" s="72"/>
      <c r="I26" s="72"/>
      <c r="J26" s="72"/>
    </row>
    <row r="27">
      <c r="A27" s="90">
        <v>3.0</v>
      </c>
      <c r="B27" s="15" t="s">
        <v>26</v>
      </c>
      <c r="C27" s="81" t="s">
        <v>27</v>
      </c>
      <c r="D27" s="83">
        <v>10.0</v>
      </c>
      <c r="E27" s="83">
        <v>5.0</v>
      </c>
      <c r="F27" s="83">
        <v>6.0</v>
      </c>
      <c r="G27" s="83">
        <v>5.0</v>
      </c>
      <c r="H27" s="91">
        <f>sum(D27:G27)</f>
        <v>26</v>
      </c>
      <c r="I27" s="85">
        <f>countif(D27:G28,10)</f>
        <v>1</v>
      </c>
      <c r="J27" s="85">
        <f>4-I27</f>
        <v>3</v>
      </c>
    </row>
    <row r="28">
      <c r="A28" s="72"/>
      <c r="B28" s="43" t="s">
        <v>70</v>
      </c>
      <c r="C28" s="92" t="s">
        <v>71</v>
      </c>
      <c r="D28" s="72"/>
      <c r="E28" s="72"/>
      <c r="F28" s="72"/>
      <c r="G28" s="72"/>
      <c r="H28" s="72"/>
      <c r="I28" s="72"/>
      <c r="J28" s="72"/>
    </row>
    <row r="29">
      <c r="A29" s="93">
        <v>4.0</v>
      </c>
      <c r="B29" s="15" t="s">
        <v>38</v>
      </c>
      <c r="C29" s="81" t="s">
        <v>39</v>
      </c>
      <c r="D29" s="83">
        <v>4.0</v>
      </c>
      <c r="E29" s="83">
        <v>7.0</v>
      </c>
      <c r="F29" s="83">
        <v>7.0</v>
      </c>
      <c r="G29" s="83">
        <v>1.0</v>
      </c>
      <c r="H29" s="84">
        <f>sum(D29:G29)</f>
        <v>19</v>
      </c>
      <c r="I29" s="85">
        <f>countif(D29:G30,10)</f>
        <v>0</v>
      </c>
      <c r="J29" s="85">
        <f>4-I29</f>
        <v>4</v>
      </c>
    </row>
    <row r="30">
      <c r="A30" s="72"/>
      <c r="B30" s="43" t="s">
        <v>42</v>
      </c>
      <c r="C30" s="87" t="s">
        <v>43</v>
      </c>
      <c r="D30" s="72"/>
      <c r="E30" s="72"/>
      <c r="F30" s="72"/>
      <c r="G30" s="72"/>
      <c r="H30" s="72"/>
      <c r="I30" s="72"/>
      <c r="J30" s="72"/>
    </row>
    <row r="31">
      <c r="A31" s="94">
        <v>5.0</v>
      </c>
      <c r="B31" s="15" t="s">
        <v>50</v>
      </c>
      <c r="C31" s="81" t="s">
        <v>51</v>
      </c>
      <c r="D31" s="83">
        <v>10.0</v>
      </c>
      <c r="E31" s="83">
        <v>10.0</v>
      </c>
      <c r="F31" s="83">
        <v>10.0</v>
      </c>
      <c r="G31" s="83">
        <v>10.0</v>
      </c>
      <c r="H31" s="84">
        <f>sum(D31:G31)</f>
        <v>40</v>
      </c>
      <c r="I31" s="85">
        <f>countif(D31:G32,10)</f>
        <v>4</v>
      </c>
      <c r="J31" s="85">
        <f>4-I31</f>
        <v>0</v>
      </c>
    </row>
    <row r="32">
      <c r="A32" s="72"/>
      <c r="B32" s="43" t="s">
        <v>14</v>
      </c>
      <c r="C32" s="87" t="s">
        <v>15</v>
      </c>
      <c r="D32" s="72"/>
      <c r="E32" s="72"/>
      <c r="F32" s="72"/>
      <c r="G32" s="72"/>
      <c r="H32" s="72"/>
      <c r="I32" s="72"/>
      <c r="J32" s="72"/>
    </row>
    <row r="33">
      <c r="A33" s="95">
        <v>6.0</v>
      </c>
      <c r="B33" s="15" t="s">
        <v>46</v>
      </c>
      <c r="C33" s="81" t="s">
        <v>47</v>
      </c>
      <c r="D33" s="83">
        <v>5.0</v>
      </c>
      <c r="E33" s="83">
        <v>3.0</v>
      </c>
      <c r="F33" s="83">
        <v>10.0</v>
      </c>
      <c r="G33" s="83">
        <v>5.0</v>
      </c>
      <c r="H33" s="84">
        <f>sum(D33:G33)</f>
        <v>23</v>
      </c>
      <c r="I33" s="85">
        <f>countif(D33:G34,10)</f>
        <v>1</v>
      </c>
      <c r="J33" s="85">
        <f>4-I33</f>
        <v>3</v>
      </c>
    </row>
    <row r="34">
      <c r="A34" s="72"/>
      <c r="B34" s="43" t="s">
        <v>30</v>
      </c>
      <c r="C34" s="87" t="s">
        <v>31</v>
      </c>
      <c r="D34" s="72"/>
      <c r="E34" s="72"/>
      <c r="F34" s="72"/>
      <c r="G34" s="72"/>
      <c r="H34" s="72"/>
      <c r="I34" s="72"/>
      <c r="J34" s="72"/>
    </row>
    <row r="35">
      <c r="A35" s="96">
        <v>7.0</v>
      </c>
      <c r="B35" s="97" t="s">
        <v>18</v>
      </c>
      <c r="C35" s="98" t="s">
        <v>19</v>
      </c>
      <c r="D35" s="83">
        <v>10.0</v>
      </c>
      <c r="E35" s="83">
        <v>10.0</v>
      </c>
      <c r="F35" s="83">
        <v>10.0</v>
      </c>
      <c r="G35" s="83">
        <v>7.0</v>
      </c>
      <c r="H35" s="84">
        <f>sum(D35:G35)</f>
        <v>37</v>
      </c>
      <c r="I35" s="85">
        <f>countif(D35:G36,10)</f>
        <v>3</v>
      </c>
      <c r="J35" s="85">
        <f>4-I35</f>
        <v>1</v>
      </c>
    </row>
    <row r="36">
      <c r="A36" s="72"/>
      <c r="B36" s="38" t="s">
        <v>34</v>
      </c>
      <c r="C36" s="25" t="s">
        <v>35</v>
      </c>
      <c r="D36" s="72"/>
      <c r="E36" s="72"/>
      <c r="F36" s="72"/>
      <c r="G36" s="72"/>
      <c r="H36" s="72"/>
      <c r="I36" s="72"/>
      <c r="J36" s="72"/>
    </row>
    <row r="37">
      <c r="A37" s="99">
        <v>8.0</v>
      </c>
      <c r="B37" s="100"/>
      <c r="C37" s="101"/>
      <c r="D37" s="102"/>
      <c r="E37" s="103"/>
      <c r="F37" s="103"/>
      <c r="G37" s="103"/>
      <c r="H37" s="104">
        <f>sum(D37:G37)</f>
        <v>0</v>
      </c>
      <c r="I37" s="85">
        <f>countif(D37:G38,10)</f>
        <v>0</v>
      </c>
      <c r="J37" s="85">
        <f>4-I37</f>
        <v>4</v>
      </c>
    </row>
    <row r="38">
      <c r="A38" s="72"/>
      <c r="B38" s="105"/>
      <c r="C38" s="106"/>
      <c r="D38" s="72"/>
      <c r="E38" s="72"/>
      <c r="F38" s="72"/>
      <c r="G38" s="72"/>
      <c r="H38" s="72"/>
      <c r="I38" s="72"/>
      <c r="J38" s="72"/>
    </row>
    <row r="40">
      <c r="A40" s="67" t="s">
        <v>96</v>
      </c>
      <c r="B40" s="68"/>
      <c r="C40" s="68"/>
      <c r="D40" s="68"/>
      <c r="E40" s="69"/>
      <c r="G40" s="107" t="s">
        <v>97</v>
      </c>
      <c r="H40" s="71"/>
    </row>
    <row r="41">
      <c r="A41" s="108" t="s">
        <v>98</v>
      </c>
      <c r="B41" s="76" t="s">
        <v>99</v>
      </c>
      <c r="C41" s="77" t="s">
        <v>100</v>
      </c>
      <c r="D41" s="65"/>
      <c r="E41" s="109" t="s">
        <v>101</v>
      </c>
      <c r="G41" s="110"/>
      <c r="H41" s="111" t="s">
        <v>102</v>
      </c>
      <c r="I41" s="112"/>
    </row>
    <row r="42">
      <c r="A42" s="113">
        <v>1.0</v>
      </c>
      <c r="B42" s="114">
        <v>1.0</v>
      </c>
      <c r="C42" s="115">
        <v>2.0</v>
      </c>
      <c r="D42" s="116"/>
      <c r="E42" s="117"/>
      <c r="G42" s="118"/>
      <c r="H42" s="119" t="s">
        <v>103</v>
      </c>
      <c r="I42" s="112"/>
    </row>
    <row r="43">
      <c r="A43" s="120"/>
      <c r="B43" s="121">
        <v>3.0</v>
      </c>
      <c r="C43" s="122">
        <v>4.0</v>
      </c>
      <c r="D43" s="116"/>
      <c r="E43" s="117"/>
      <c r="G43" s="123"/>
      <c r="H43" s="119" t="s">
        <v>104</v>
      </c>
      <c r="I43" s="112"/>
    </row>
    <row r="44">
      <c r="A44" s="86"/>
      <c r="B44" s="124">
        <v>5.0</v>
      </c>
      <c r="C44" s="125">
        <v>6.0</v>
      </c>
      <c r="D44" s="116"/>
      <c r="E44" s="117"/>
      <c r="G44" s="126"/>
      <c r="H44" s="127" t="s">
        <v>105</v>
      </c>
      <c r="I44" s="112"/>
    </row>
    <row r="45">
      <c r="A45" s="113">
        <v>2.0</v>
      </c>
      <c r="B45" s="114">
        <v>1.0</v>
      </c>
      <c r="C45" s="128">
        <v>7.0</v>
      </c>
      <c r="D45" s="116"/>
      <c r="E45" s="117"/>
      <c r="H45" s="129"/>
      <c r="I45" s="112"/>
    </row>
    <row r="46">
      <c r="A46" s="120"/>
      <c r="B46" s="130">
        <v>2.0</v>
      </c>
      <c r="C46" s="131">
        <v>3.0</v>
      </c>
      <c r="D46" s="116"/>
      <c r="E46" s="117"/>
      <c r="H46" s="129"/>
      <c r="I46" s="132"/>
    </row>
    <row r="47">
      <c r="A47" s="86"/>
      <c r="B47" s="133">
        <v>4.0</v>
      </c>
      <c r="C47" s="134">
        <v>5.0</v>
      </c>
      <c r="D47" s="116"/>
      <c r="E47" s="117"/>
      <c r="H47" s="129"/>
      <c r="I47" s="132"/>
    </row>
    <row r="48">
      <c r="A48" s="113">
        <v>3.0</v>
      </c>
      <c r="B48" s="135">
        <v>6.0</v>
      </c>
      <c r="C48" s="128">
        <v>7.0</v>
      </c>
      <c r="D48" s="116"/>
      <c r="E48" s="117"/>
    </row>
    <row r="49">
      <c r="A49" s="120"/>
      <c r="B49" s="136">
        <v>1.0</v>
      </c>
      <c r="C49" s="137">
        <v>3.0</v>
      </c>
      <c r="D49" s="116"/>
      <c r="E49" s="117"/>
    </row>
    <row r="50">
      <c r="A50" s="86"/>
      <c r="B50" s="138">
        <v>2.0</v>
      </c>
      <c r="C50" s="139">
        <v>4.0</v>
      </c>
      <c r="D50" s="116"/>
      <c r="E50" s="117"/>
    </row>
    <row r="51">
      <c r="A51" s="113">
        <v>4.0</v>
      </c>
      <c r="B51" s="140">
        <v>2.0</v>
      </c>
      <c r="C51" s="141">
        <v>5.0</v>
      </c>
      <c r="D51" s="116"/>
      <c r="E51" s="117"/>
    </row>
    <row r="52">
      <c r="A52" s="120"/>
      <c r="B52" s="142">
        <v>3.0</v>
      </c>
      <c r="C52" s="125">
        <v>6.0</v>
      </c>
      <c r="D52" s="116"/>
      <c r="E52" s="117"/>
    </row>
    <row r="53">
      <c r="A53" s="86"/>
      <c r="B53" s="143">
        <v>4.0</v>
      </c>
      <c r="C53" s="144">
        <v>7.0</v>
      </c>
      <c r="D53" s="116"/>
      <c r="E53" s="117"/>
    </row>
    <row r="54">
      <c r="A54" s="113">
        <v>5.0</v>
      </c>
      <c r="B54" s="145">
        <v>5.0</v>
      </c>
      <c r="C54" s="128">
        <v>7.0</v>
      </c>
      <c r="D54" s="116"/>
      <c r="E54" s="117"/>
    </row>
    <row r="55">
      <c r="A55" s="120"/>
      <c r="B55" s="136">
        <v>1.0</v>
      </c>
      <c r="C55" s="146">
        <v>6.0</v>
      </c>
      <c r="D55" s="116"/>
      <c r="E55" s="117"/>
    </row>
    <row r="56">
      <c r="A56" s="86"/>
      <c r="B56" s="147"/>
      <c r="C56" s="148"/>
      <c r="D56" s="72"/>
      <c r="E56" s="149"/>
    </row>
    <row r="59">
      <c r="B59" s="150"/>
      <c r="C59" s="150"/>
    </row>
    <row r="60">
      <c r="B60" s="150"/>
      <c r="C60" s="150"/>
    </row>
  </sheetData>
  <mergeCells count="78">
    <mergeCell ref="D31:D32"/>
    <mergeCell ref="E31:E32"/>
    <mergeCell ref="F31:F32"/>
    <mergeCell ref="G31:G32"/>
    <mergeCell ref="H31:H32"/>
    <mergeCell ref="I31:I32"/>
    <mergeCell ref="J31:J32"/>
    <mergeCell ref="D33:D34"/>
    <mergeCell ref="E33:E34"/>
    <mergeCell ref="F33:F34"/>
    <mergeCell ref="G33:G34"/>
    <mergeCell ref="H33:H34"/>
    <mergeCell ref="I33:I34"/>
    <mergeCell ref="J33:J34"/>
    <mergeCell ref="D35:D36"/>
    <mergeCell ref="E35:E36"/>
    <mergeCell ref="F35:F36"/>
    <mergeCell ref="G35:G36"/>
    <mergeCell ref="H35:H36"/>
    <mergeCell ref="I35:I36"/>
    <mergeCell ref="J35:J36"/>
    <mergeCell ref="D37:D38"/>
    <mergeCell ref="E37:E38"/>
    <mergeCell ref="F37:F38"/>
    <mergeCell ref="G37:G38"/>
    <mergeCell ref="H37:H38"/>
    <mergeCell ref="I37:I38"/>
    <mergeCell ref="J37:J38"/>
    <mergeCell ref="D41:D56"/>
    <mergeCell ref="F23:F24"/>
    <mergeCell ref="G23:G24"/>
    <mergeCell ref="F25:F26"/>
    <mergeCell ref="G25:G26"/>
    <mergeCell ref="F27:F28"/>
    <mergeCell ref="G27:G28"/>
    <mergeCell ref="H23:H24"/>
    <mergeCell ref="I23:I24"/>
    <mergeCell ref="H25:H26"/>
    <mergeCell ref="I25:I26"/>
    <mergeCell ref="J25:J26"/>
    <mergeCell ref="H27:H28"/>
    <mergeCell ref="I27:I28"/>
    <mergeCell ref="J27:J28"/>
    <mergeCell ref="A1:D1"/>
    <mergeCell ref="A20:J20"/>
    <mergeCell ref="A21:A22"/>
    <mergeCell ref="B21:C21"/>
    <mergeCell ref="D21:H21"/>
    <mergeCell ref="I21:J21"/>
    <mergeCell ref="A23:A24"/>
    <mergeCell ref="J23:J24"/>
    <mergeCell ref="D23:D24"/>
    <mergeCell ref="E23:E24"/>
    <mergeCell ref="A25:A26"/>
    <mergeCell ref="D25:D26"/>
    <mergeCell ref="E25:E26"/>
    <mergeCell ref="D27:D28"/>
    <mergeCell ref="E27:E28"/>
    <mergeCell ref="D29:D30"/>
    <mergeCell ref="E29:E30"/>
    <mergeCell ref="F29:F30"/>
    <mergeCell ref="G29:G30"/>
    <mergeCell ref="H29:H30"/>
    <mergeCell ref="I29:I30"/>
    <mergeCell ref="J29:J30"/>
    <mergeCell ref="A40:E40"/>
    <mergeCell ref="G40:H40"/>
    <mergeCell ref="A45:A47"/>
    <mergeCell ref="A48:A50"/>
    <mergeCell ref="A51:A53"/>
    <mergeCell ref="A54:A56"/>
    <mergeCell ref="A27:A28"/>
    <mergeCell ref="A29:A30"/>
    <mergeCell ref="A31:A32"/>
    <mergeCell ref="A33:A34"/>
    <mergeCell ref="A35:A36"/>
    <mergeCell ref="A37:A38"/>
    <mergeCell ref="A42:A4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13.0"/>
  </cols>
  <sheetData>
    <row r="1">
      <c r="A1" s="53" t="s">
        <v>84</v>
      </c>
      <c r="B1" s="54"/>
      <c r="C1" s="54"/>
      <c r="D1" s="54"/>
      <c r="E1" s="55"/>
    </row>
    <row r="2">
      <c r="A2" s="56" t="s">
        <v>4</v>
      </c>
      <c r="B2" s="56" t="s">
        <v>5</v>
      </c>
      <c r="C2" s="56" t="s">
        <v>6</v>
      </c>
      <c r="D2" s="151" t="s">
        <v>7</v>
      </c>
      <c r="E2" s="56" t="s">
        <v>85</v>
      </c>
    </row>
    <row r="3">
      <c r="A3" s="38"/>
      <c r="B3" s="25"/>
      <c r="C3" s="26"/>
      <c r="D3" s="26"/>
      <c r="E3" s="152" t="s">
        <v>86</v>
      </c>
    </row>
    <row r="4">
      <c r="A4" s="38"/>
      <c r="B4" s="38"/>
      <c r="C4" s="26"/>
      <c r="D4" s="26"/>
      <c r="E4" s="63" t="s">
        <v>86</v>
      </c>
    </row>
    <row r="5">
      <c r="A5" s="38" t="s">
        <v>38</v>
      </c>
      <c r="B5" s="25" t="s">
        <v>39</v>
      </c>
      <c r="C5" s="26" t="s">
        <v>40</v>
      </c>
      <c r="D5" s="26" t="s">
        <v>41</v>
      </c>
      <c r="E5" s="57" t="s">
        <v>86</v>
      </c>
    </row>
    <row r="6">
      <c r="A6" s="38" t="s">
        <v>26</v>
      </c>
      <c r="B6" s="25" t="s">
        <v>27</v>
      </c>
      <c r="C6" s="26" t="s">
        <v>28</v>
      </c>
      <c r="D6" s="26" t="s">
        <v>29</v>
      </c>
      <c r="E6" s="57" t="s">
        <v>86</v>
      </c>
    </row>
    <row r="7">
      <c r="A7" s="38" t="s">
        <v>34</v>
      </c>
      <c r="B7" s="25" t="s">
        <v>35</v>
      </c>
      <c r="C7" s="26" t="s">
        <v>36</v>
      </c>
      <c r="D7" s="26" t="s">
        <v>37</v>
      </c>
      <c r="E7" s="57" t="s">
        <v>86</v>
      </c>
    </row>
    <row r="8">
      <c r="A8" s="38" t="s">
        <v>42</v>
      </c>
      <c r="B8" s="25" t="s">
        <v>43</v>
      </c>
      <c r="C8" s="26" t="s">
        <v>44</v>
      </c>
      <c r="D8" s="26" t="s">
        <v>45</v>
      </c>
      <c r="E8" s="153" t="s">
        <v>86</v>
      </c>
    </row>
    <row r="9">
      <c r="A9" s="38" t="s">
        <v>22</v>
      </c>
      <c r="B9" s="25" t="s">
        <v>23</v>
      </c>
      <c r="C9" s="26" t="s">
        <v>24</v>
      </c>
      <c r="D9" s="26" t="s">
        <v>25</v>
      </c>
      <c r="E9" s="57" t="s">
        <v>86</v>
      </c>
    </row>
    <row r="10">
      <c r="A10" s="38" t="s">
        <v>18</v>
      </c>
      <c r="B10" s="25" t="s">
        <v>19</v>
      </c>
      <c r="C10" s="26" t="s">
        <v>20</v>
      </c>
      <c r="D10" s="26" t="s">
        <v>21</v>
      </c>
      <c r="E10" s="153" t="s">
        <v>86</v>
      </c>
    </row>
    <row r="11">
      <c r="A11" s="38" t="s">
        <v>54</v>
      </c>
      <c r="B11" s="25" t="s">
        <v>55</v>
      </c>
      <c r="C11" s="35" t="s">
        <v>56</v>
      </c>
      <c r="D11" s="26" t="s">
        <v>57</v>
      </c>
      <c r="E11" s="153" t="s">
        <v>86</v>
      </c>
    </row>
    <row r="12">
      <c r="A12" s="154" t="s">
        <v>30</v>
      </c>
      <c r="B12" s="25" t="s">
        <v>31</v>
      </c>
      <c r="C12" s="26" t="s">
        <v>32</v>
      </c>
      <c r="D12" s="26" t="s">
        <v>33</v>
      </c>
      <c r="E12" s="153" t="s">
        <v>86</v>
      </c>
    </row>
    <row r="13">
      <c r="A13" s="38" t="s">
        <v>46</v>
      </c>
      <c r="B13" s="25" t="s">
        <v>47</v>
      </c>
      <c r="C13" s="26" t="s">
        <v>48</v>
      </c>
      <c r="D13" s="26" t="s">
        <v>49</v>
      </c>
      <c r="E13" s="153" t="s">
        <v>86</v>
      </c>
    </row>
    <row r="14">
      <c r="A14" s="38" t="s">
        <v>14</v>
      </c>
      <c r="B14" s="25" t="s">
        <v>15</v>
      </c>
      <c r="C14" s="26" t="s">
        <v>16</v>
      </c>
      <c r="D14" s="26" t="s">
        <v>17</v>
      </c>
      <c r="E14" s="57" t="s">
        <v>86</v>
      </c>
    </row>
    <row r="15">
      <c r="A15" s="38"/>
      <c r="B15" s="25"/>
      <c r="C15" s="26"/>
      <c r="D15" s="60"/>
      <c r="E15" s="63" t="s">
        <v>86</v>
      </c>
    </row>
    <row r="16">
      <c r="A16" s="38"/>
      <c r="B16" s="25"/>
      <c r="C16" s="26"/>
      <c r="D16" s="60"/>
      <c r="E16" s="60"/>
    </row>
    <row r="17">
      <c r="A17" s="38"/>
      <c r="B17" s="25"/>
      <c r="C17" s="26"/>
      <c r="D17" s="60"/>
      <c r="E17" s="60" t="s">
        <v>86</v>
      </c>
    </row>
    <row r="18">
      <c r="A18" s="61"/>
      <c r="B18" s="61"/>
      <c r="C18" s="62"/>
      <c r="D18" s="63"/>
      <c r="E18" s="63" t="s">
        <v>86</v>
      </c>
    </row>
    <row r="20">
      <c r="A20" s="64" t="s">
        <v>87</v>
      </c>
      <c r="B20" s="2"/>
      <c r="C20" s="2"/>
      <c r="D20" s="2"/>
      <c r="E20" s="2"/>
      <c r="F20" s="2"/>
      <c r="G20" s="2"/>
      <c r="H20" s="2"/>
      <c r="I20" s="2"/>
      <c r="J20" s="3"/>
    </row>
    <row r="21">
      <c r="A21" s="65" t="s">
        <v>88</v>
      </c>
      <c r="B21" s="66" t="s">
        <v>89</v>
      </c>
      <c r="C21" s="3"/>
      <c r="D21" s="67" t="s">
        <v>2</v>
      </c>
      <c r="E21" s="68"/>
      <c r="F21" s="68"/>
      <c r="G21" s="68"/>
      <c r="H21" s="69"/>
      <c r="I21" s="70" t="s">
        <v>90</v>
      </c>
      <c r="J21" s="71"/>
    </row>
    <row r="22">
      <c r="A22" s="72"/>
      <c r="B22" s="73" t="s">
        <v>4</v>
      </c>
      <c r="C22" s="74" t="s">
        <v>5</v>
      </c>
      <c r="D22" s="75" t="s">
        <v>91</v>
      </c>
      <c r="E22" s="76" t="s">
        <v>92</v>
      </c>
      <c r="F22" s="77" t="s">
        <v>93</v>
      </c>
      <c r="G22" s="78" t="s">
        <v>94</v>
      </c>
      <c r="H22" s="74" t="s">
        <v>95</v>
      </c>
      <c r="I22" s="79" t="s">
        <v>9</v>
      </c>
      <c r="J22" s="79" t="s">
        <v>10</v>
      </c>
    </row>
    <row r="23">
      <c r="A23" s="80">
        <v>1.0</v>
      </c>
      <c r="B23" s="15"/>
      <c r="C23" s="81"/>
      <c r="D23" s="82">
        <v>10.0</v>
      </c>
      <c r="E23" s="83">
        <v>10.0</v>
      </c>
      <c r="F23" s="83">
        <v>7.0</v>
      </c>
      <c r="G23" s="83">
        <v>7.0</v>
      </c>
      <c r="H23" s="84">
        <f>sum(D23:G23)</f>
        <v>34</v>
      </c>
      <c r="I23" s="85">
        <f>countif(D23:G24,10)</f>
        <v>2</v>
      </c>
      <c r="J23" s="85">
        <f>4-I23</f>
        <v>2</v>
      </c>
    </row>
    <row r="24">
      <c r="A24" s="86"/>
      <c r="B24" s="43" t="s">
        <v>54</v>
      </c>
      <c r="C24" s="87" t="s">
        <v>55</v>
      </c>
      <c r="D24" s="88"/>
      <c r="E24" s="72"/>
      <c r="F24" s="72"/>
      <c r="G24" s="72"/>
      <c r="H24" s="72"/>
      <c r="I24" s="72"/>
      <c r="J24" s="72"/>
    </row>
    <row r="25">
      <c r="A25" s="89">
        <v>2.0</v>
      </c>
      <c r="B25" s="15"/>
      <c r="C25" s="155"/>
      <c r="D25" s="83">
        <v>10.0</v>
      </c>
      <c r="E25" s="83">
        <v>6.0</v>
      </c>
      <c r="F25" s="83">
        <v>4.0</v>
      </c>
      <c r="G25" s="83">
        <v>10.0</v>
      </c>
      <c r="H25" s="84">
        <f>sum(D25:G25)</f>
        <v>30</v>
      </c>
      <c r="I25" s="85">
        <f>countif(D25:G26,10)</f>
        <v>2</v>
      </c>
      <c r="J25" s="85">
        <f>4-I25</f>
        <v>2</v>
      </c>
    </row>
    <row r="26">
      <c r="A26" s="72"/>
      <c r="B26" s="43" t="s">
        <v>22</v>
      </c>
      <c r="C26" s="87" t="s">
        <v>23</v>
      </c>
      <c r="D26" s="72"/>
      <c r="E26" s="72"/>
      <c r="F26" s="72"/>
      <c r="G26" s="72"/>
      <c r="H26" s="72"/>
      <c r="I26" s="72"/>
      <c r="J26" s="72"/>
    </row>
    <row r="27">
      <c r="A27" s="90">
        <v>3.0</v>
      </c>
      <c r="B27" s="15" t="s">
        <v>38</v>
      </c>
      <c r="C27" s="81" t="s">
        <v>39</v>
      </c>
      <c r="D27" s="83">
        <v>5.0</v>
      </c>
      <c r="E27" s="83">
        <v>10.0</v>
      </c>
      <c r="F27" s="83">
        <v>10.0</v>
      </c>
      <c r="G27" s="83">
        <v>10.0</v>
      </c>
      <c r="H27" s="91">
        <f>sum(D27:G27)</f>
        <v>35</v>
      </c>
      <c r="I27" s="85">
        <f>countif(D27:G28,10)</f>
        <v>3</v>
      </c>
      <c r="J27" s="85">
        <f>4-I27</f>
        <v>1</v>
      </c>
    </row>
    <row r="28">
      <c r="A28" s="72"/>
      <c r="B28" s="156" t="s">
        <v>30</v>
      </c>
      <c r="C28" s="87" t="s">
        <v>31</v>
      </c>
      <c r="D28" s="72"/>
      <c r="E28" s="72"/>
      <c r="F28" s="72"/>
      <c r="G28" s="72"/>
      <c r="H28" s="72"/>
      <c r="I28" s="72"/>
      <c r="J28" s="72"/>
    </row>
    <row r="29">
      <c r="A29" s="93">
        <v>4.0</v>
      </c>
      <c r="B29" s="15" t="s">
        <v>26</v>
      </c>
      <c r="C29" s="81" t="s">
        <v>27</v>
      </c>
      <c r="D29" s="83">
        <v>10.0</v>
      </c>
      <c r="E29" s="83">
        <v>10.0</v>
      </c>
      <c r="F29" s="83">
        <v>10.0</v>
      </c>
      <c r="G29" s="83">
        <v>6.0</v>
      </c>
      <c r="H29" s="84">
        <f>sum(D29:G29)</f>
        <v>36</v>
      </c>
      <c r="I29" s="85">
        <f>countif(D29:G30,10)</f>
        <v>3</v>
      </c>
      <c r="J29" s="85">
        <f>4-I29</f>
        <v>1</v>
      </c>
    </row>
    <row r="30">
      <c r="A30" s="72"/>
      <c r="B30" s="43" t="s">
        <v>14</v>
      </c>
      <c r="C30" s="87" t="s">
        <v>15</v>
      </c>
      <c r="D30" s="72"/>
      <c r="E30" s="72"/>
      <c r="F30" s="72"/>
      <c r="G30" s="72"/>
      <c r="H30" s="72"/>
      <c r="I30" s="72"/>
      <c r="J30" s="72"/>
    </row>
    <row r="31">
      <c r="A31" s="94">
        <v>5.0</v>
      </c>
      <c r="B31" s="15" t="s">
        <v>34</v>
      </c>
      <c r="C31" s="81" t="s">
        <v>35</v>
      </c>
      <c r="D31" s="83">
        <v>5.0</v>
      </c>
      <c r="E31" s="83">
        <v>4.0</v>
      </c>
      <c r="F31" s="83">
        <v>4.0</v>
      </c>
      <c r="G31" s="83">
        <v>7.0</v>
      </c>
      <c r="H31" s="84">
        <f>sum(D31:G31)</f>
        <v>20</v>
      </c>
      <c r="I31" s="85">
        <f>countif(D31:G32,10)</f>
        <v>0</v>
      </c>
      <c r="J31" s="85">
        <f>4-I31</f>
        <v>4</v>
      </c>
    </row>
    <row r="32">
      <c r="A32" s="72"/>
      <c r="B32" s="43" t="s">
        <v>46</v>
      </c>
      <c r="C32" s="87" t="s">
        <v>47</v>
      </c>
      <c r="D32" s="72"/>
      <c r="E32" s="72"/>
      <c r="F32" s="72"/>
      <c r="G32" s="72"/>
      <c r="H32" s="72"/>
      <c r="I32" s="72"/>
      <c r="J32" s="72"/>
    </row>
    <row r="33">
      <c r="A33" s="95">
        <v>6.0</v>
      </c>
      <c r="B33" s="15" t="s">
        <v>42</v>
      </c>
      <c r="C33" s="81" t="s">
        <v>43</v>
      </c>
      <c r="D33" s="83">
        <v>5.0</v>
      </c>
      <c r="E33" s="83">
        <v>6.0</v>
      </c>
      <c r="F33" s="83">
        <v>10.0</v>
      </c>
      <c r="G33" s="83">
        <v>10.0</v>
      </c>
      <c r="H33" s="84">
        <f>sum(D33:G33)</f>
        <v>31</v>
      </c>
      <c r="I33" s="85">
        <f>countif(D33:G34,10)</f>
        <v>2</v>
      </c>
      <c r="J33" s="85">
        <f>4-I33</f>
        <v>2</v>
      </c>
    </row>
    <row r="34">
      <c r="A34" s="72"/>
      <c r="B34" s="43" t="s">
        <v>18</v>
      </c>
      <c r="C34" s="87" t="s">
        <v>19</v>
      </c>
      <c r="D34" s="72"/>
      <c r="E34" s="72"/>
      <c r="F34" s="72"/>
      <c r="G34" s="72"/>
      <c r="H34" s="72"/>
      <c r="I34" s="72"/>
      <c r="J34" s="72"/>
    </row>
    <row r="35">
      <c r="A35" s="96">
        <v>7.0</v>
      </c>
      <c r="B35" s="97"/>
      <c r="C35" s="98"/>
      <c r="D35" s="83"/>
      <c r="E35" s="83"/>
      <c r="F35" s="83"/>
      <c r="G35" s="83"/>
      <c r="H35" s="84">
        <f>sum(D35:G35)</f>
        <v>0</v>
      </c>
      <c r="I35" s="85">
        <f>countif(D35:G36,10)</f>
        <v>0</v>
      </c>
      <c r="J35" s="85">
        <f>4-I35</f>
        <v>4</v>
      </c>
    </row>
    <row r="36">
      <c r="A36" s="72"/>
      <c r="B36" s="38"/>
      <c r="C36" s="25"/>
      <c r="D36" s="72"/>
      <c r="E36" s="72"/>
      <c r="F36" s="72"/>
      <c r="G36" s="72"/>
      <c r="H36" s="72"/>
      <c r="I36" s="72"/>
      <c r="J36" s="72"/>
    </row>
    <row r="37">
      <c r="A37" s="99">
        <v>8.0</v>
      </c>
      <c r="B37" s="100"/>
      <c r="C37" s="101"/>
      <c r="D37" s="102"/>
      <c r="E37" s="103"/>
      <c r="F37" s="103"/>
      <c r="G37" s="103"/>
      <c r="H37" s="104">
        <f>sum(D37:G37)</f>
        <v>0</v>
      </c>
      <c r="I37" s="85">
        <f>countif(D37:G38,10)</f>
        <v>0</v>
      </c>
      <c r="J37" s="85">
        <f>4-I37</f>
        <v>4</v>
      </c>
    </row>
    <row r="38">
      <c r="A38" s="72"/>
      <c r="B38" s="105"/>
      <c r="C38" s="106"/>
      <c r="D38" s="72"/>
      <c r="E38" s="72"/>
      <c r="F38" s="72"/>
      <c r="G38" s="72"/>
      <c r="H38" s="72"/>
      <c r="I38" s="72"/>
      <c r="J38" s="72"/>
    </row>
    <row r="40">
      <c r="A40" s="67" t="s">
        <v>96</v>
      </c>
      <c r="B40" s="68"/>
      <c r="C40" s="68"/>
      <c r="D40" s="68"/>
      <c r="E40" s="69"/>
      <c r="G40" s="107" t="s">
        <v>97</v>
      </c>
      <c r="H40" s="71"/>
    </row>
    <row r="41">
      <c r="A41" s="108" t="s">
        <v>98</v>
      </c>
      <c r="B41" s="76" t="s">
        <v>99</v>
      </c>
      <c r="C41" s="77" t="s">
        <v>100</v>
      </c>
      <c r="D41" s="65"/>
      <c r="E41" s="109" t="s">
        <v>101</v>
      </c>
      <c r="G41" s="110"/>
      <c r="H41" s="111" t="s">
        <v>102</v>
      </c>
      <c r="I41" s="112"/>
    </row>
    <row r="42">
      <c r="A42" s="113">
        <v>1.0</v>
      </c>
      <c r="B42" s="114">
        <v>1.0</v>
      </c>
      <c r="C42" s="157">
        <v>6.0</v>
      </c>
      <c r="D42" s="116"/>
      <c r="E42" s="117"/>
      <c r="G42" s="118"/>
      <c r="H42" s="119" t="s">
        <v>103</v>
      </c>
      <c r="I42" s="112"/>
    </row>
    <row r="43">
      <c r="A43" s="120"/>
      <c r="B43" s="130">
        <v>2.0</v>
      </c>
      <c r="C43" s="158">
        <v>5.0</v>
      </c>
      <c r="D43" s="116"/>
      <c r="E43" s="117"/>
      <c r="G43" s="123"/>
      <c r="H43" s="119" t="s">
        <v>104</v>
      </c>
      <c r="I43" s="112"/>
    </row>
    <row r="44">
      <c r="A44" s="86"/>
      <c r="B44" s="142">
        <v>3.0</v>
      </c>
      <c r="C44" s="159">
        <v>4.0</v>
      </c>
      <c r="D44" s="116"/>
      <c r="E44" s="117"/>
      <c r="G44" s="126"/>
      <c r="H44" s="127" t="s">
        <v>105</v>
      </c>
      <c r="I44" s="112"/>
    </row>
    <row r="45">
      <c r="A45" s="113">
        <v>2.0</v>
      </c>
      <c r="B45" s="114">
        <v>1.0</v>
      </c>
      <c r="C45" s="141">
        <v>5.0</v>
      </c>
      <c r="D45" s="116"/>
      <c r="E45" s="117"/>
      <c r="H45" s="129"/>
      <c r="I45" s="112"/>
    </row>
    <row r="46">
      <c r="A46" s="120"/>
      <c r="B46" s="160">
        <v>6.0</v>
      </c>
      <c r="C46" s="122">
        <v>4.0</v>
      </c>
      <c r="D46" s="116"/>
      <c r="E46" s="117"/>
      <c r="H46" s="129"/>
      <c r="I46" s="132"/>
    </row>
    <row r="47">
      <c r="A47" s="86"/>
      <c r="B47" s="161">
        <v>2.0</v>
      </c>
      <c r="C47" s="162">
        <v>3.0</v>
      </c>
      <c r="D47" s="116"/>
      <c r="E47" s="117"/>
      <c r="H47" s="129"/>
      <c r="I47" s="132"/>
    </row>
    <row r="48">
      <c r="A48" s="113">
        <v>3.0</v>
      </c>
      <c r="B48" s="114">
        <v>1.0</v>
      </c>
      <c r="C48" s="163">
        <v>4.0</v>
      </c>
      <c r="D48" s="116"/>
      <c r="E48" s="117"/>
    </row>
    <row r="49">
      <c r="A49" s="120"/>
      <c r="B49" s="164">
        <v>5.0</v>
      </c>
      <c r="C49" s="137">
        <v>3.0</v>
      </c>
      <c r="D49" s="116"/>
      <c r="E49" s="117"/>
    </row>
    <row r="50">
      <c r="A50" s="86"/>
      <c r="B50" s="165">
        <v>6.0</v>
      </c>
      <c r="C50" s="166">
        <v>2.0</v>
      </c>
      <c r="D50" s="116"/>
      <c r="E50" s="117"/>
    </row>
    <row r="51">
      <c r="A51" s="113">
        <v>4.0</v>
      </c>
      <c r="B51" s="114">
        <v>1.0</v>
      </c>
      <c r="C51" s="167">
        <v>3.0</v>
      </c>
      <c r="D51" s="116"/>
      <c r="E51" s="117"/>
    </row>
    <row r="52">
      <c r="A52" s="120"/>
      <c r="B52" s="133">
        <v>4.0</v>
      </c>
      <c r="C52" s="168">
        <v>2.0</v>
      </c>
      <c r="D52" s="116"/>
      <c r="E52" s="117"/>
    </row>
    <row r="53">
      <c r="A53" s="86"/>
      <c r="B53" s="169">
        <v>5.0</v>
      </c>
      <c r="C53" s="170">
        <v>6.0</v>
      </c>
      <c r="D53" s="72"/>
      <c r="E53" s="117"/>
    </row>
    <row r="56">
      <c r="B56" s="150"/>
      <c r="C56" s="150"/>
    </row>
    <row r="57">
      <c r="B57" s="150"/>
      <c r="C57" s="150"/>
    </row>
  </sheetData>
  <mergeCells count="77">
    <mergeCell ref="D31:D32"/>
    <mergeCell ref="E31:E32"/>
    <mergeCell ref="F31:F32"/>
    <mergeCell ref="G31:G32"/>
    <mergeCell ref="H31:H32"/>
    <mergeCell ref="I31:I32"/>
    <mergeCell ref="J31:J32"/>
    <mergeCell ref="D33:D34"/>
    <mergeCell ref="E33:E34"/>
    <mergeCell ref="F33:F34"/>
    <mergeCell ref="G33:G34"/>
    <mergeCell ref="H33:H34"/>
    <mergeCell ref="I33:I34"/>
    <mergeCell ref="J33:J34"/>
    <mergeCell ref="D35:D36"/>
    <mergeCell ref="E35:E36"/>
    <mergeCell ref="F35:F36"/>
    <mergeCell ref="G35:G36"/>
    <mergeCell ref="H35:H36"/>
    <mergeCell ref="I35:I36"/>
    <mergeCell ref="J35:J36"/>
    <mergeCell ref="D37:D38"/>
    <mergeCell ref="E37:E38"/>
    <mergeCell ref="F37:F38"/>
    <mergeCell ref="G37:G38"/>
    <mergeCell ref="H37:H38"/>
    <mergeCell ref="I37:I38"/>
    <mergeCell ref="J37:J38"/>
    <mergeCell ref="D41:D53"/>
    <mergeCell ref="F23:F24"/>
    <mergeCell ref="G23:G24"/>
    <mergeCell ref="F25:F26"/>
    <mergeCell ref="G25:G26"/>
    <mergeCell ref="F27:F28"/>
    <mergeCell ref="G27:G28"/>
    <mergeCell ref="H23:H24"/>
    <mergeCell ref="I23:I24"/>
    <mergeCell ref="H25:H26"/>
    <mergeCell ref="I25:I26"/>
    <mergeCell ref="J25:J26"/>
    <mergeCell ref="H27:H28"/>
    <mergeCell ref="I27:I28"/>
    <mergeCell ref="J27:J28"/>
    <mergeCell ref="A1:E1"/>
    <mergeCell ref="A20:J20"/>
    <mergeCell ref="A21:A22"/>
    <mergeCell ref="B21:C21"/>
    <mergeCell ref="D21:H21"/>
    <mergeCell ref="I21:J21"/>
    <mergeCell ref="A23:A24"/>
    <mergeCell ref="J23:J24"/>
    <mergeCell ref="D23:D24"/>
    <mergeCell ref="E23:E24"/>
    <mergeCell ref="A25:A26"/>
    <mergeCell ref="D25:D26"/>
    <mergeCell ref="E25:E26"/>
    <mergeCell ref="D27:D28"/>
    <mergeCell ref="E27:E28"/>
    <mergeCell ref="D29:D30"/>
    <mergeCell ref="E29:E30"/>
    <mergeCell ref="F29:F30"/>
    <mergeCell ref="G29:G30"/>
    <mergeCell ref="H29:H30"/>
    <mergeCell ref="I29:I30"/>
    <mergeCell ref="J29:J30"/>
    <mergeCell ref="A40:E40"/>
    <mergeCell ref="G40:H40"/>
    <mergeCell ref="A45:A47"/>
    <mergeCell ref="A48:A50"/>
    <mergeCell ref="A51:A53"/>
    <mergeCell ref="A27:A28"/>
    <mergeCell ref="A29:A30"/>
    <mergeCell ref="A31:A32"/>
    <mergeCell ref="A33:A34"/>
    <mergeCell ref="A35:A36"/>
    <mergeCell ref="A37:A38"/>
    <mergeCell ref="A42:A4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3" t="s">
        <v>84</v>
      </c>
      <c r="B1" s="54"/>
      <c r="C1" s="54"/>
      <c r="D1" s="54"/>
      <c r="E1" s="55"/>
    </row>
    <row r="2">
      <c r="A2" s="56" t="s">
        <v>4</v>
      </c>
      <c r="B2" s="56" t="s">
        <v>5</v>
      </c>
      <c r="C2" s="56" t="s">
        <v>6</v>
      </c>
      <c r="D2" s="151" t="s">
        <v>7</v>
      </c>
      <c r="E2" s="56" t="s">
        <v>85</v>
      </c>
    </row>
    <row r="3">
      <c r="A3" s="38" t="s">
        <v>70</v>
      </c>
      <c r="B3" s="38" t="s">
        <v>71</v>
      </c>
      <c r="C3" s="26" t="s">
        <v>72</v>
      </c>
      <c r="D3" s="26" t="s">
        <v>73</v>
      </c>
      <c r="E3" s="152" t="s">
        <v>86</v>
      </c>
    </row>
    <row r="4">
      <c r="A4" s="38" t="s">
        <v>66</v>
      </c>
      <c r="B4" s="25" t="s">
        <v>67</v>
      </c>
      <c r="C4" s="26" t="s">
        <v>68</v>
      </c>
      <c r="D4" s="26" t="s">
        <v>69</v>
      </c>
      <c r="E4" s="63" t="s">
        <v>86</v>
      </c>
    </row>
    <row r="5">
      <c r="A5" s="38" t="s">
        <v>38</v>
      </c>
      <c r="B5" s="25" t="s">
        <v>39</v>
      </c>
      <c r="C5" s="26" t="s">
        <v>40</v>
      </c>
      <c r="D5" s="26" t="s">
        <v>41</v>
      </c>
      <c r="E5" s="63" t="s">
        <v>86</v>
      </c>
    </row>
    <row r="6">
      <c r="A6" s="38" t="s">
        <v>34</v>
      </c>
      <c r="B6" s="25" t="s">
        <v>35</v>
      </c>
      <c r="C6" s="26" t="s">
        <v>36</v>
      </c>
      <c r="D6" s="26" t="s">
        <v>37</v>
      </c>
      <c r="E6" s="63" t="s">
        <v>86</v>
      </c>
    </row>
    <row r="7">
      <c r="A7" s="38" t="s">
        <v>42</v>
      </c>
      <c r="B7" s="25" t="s">
        <v>43</v>
      </c>
      <c r="C7" s="26" t="s">
        <v>44</v>
      </c>
      <c r="D7" s="26" t="s">
        <v>45</v>
      </c>
      <c r="E7" s="63" t="s">
        <v>86</v>
      </c>
    </row>
    <row r="8">
      <c r="A8" s="38" t="s">
        <v>22</v>
      </c>
      <c r="B8" s="25" t="s">
        <v>23</v>
      </c>
      <c r="C8" s="26" t="s">
        <v>24</v>
      </c>
      <c r="D8" s="26" t="s">
        <v>25</v>
      </c>
      <c r="E8" s="63" t="s">
        <v>86</v>
      </c>
    </row>
    <row r="9">
      <c r="A9" s="38" t="s">
        <v>18</v>
      </c>
      <c r="B9" s="25" t="s">
        <v>19</v>
      </c>
      <c r="C9" s="26" t="s">
        <v>20</v>
      </c>
      <c r="D9" s="26" t="s">
        <v>21</v>
      </c>
      <c r="E9" s="63" t="s">
        <v>86</v>
      </c>
    </row>
    <row r="10">
      <c r="A10" s="154" t="s">
        <v>30</v>
      </c>
      <c r="B10" s="25" t="s">
        <v>31</v>
      </c>
      <c r="C10" s="26" t="s">
        <v>32</v>
      </c>
      <c r="D10" s="26" t="s">
        <v>33</v>
      </c>
      <c r="E10" s="63" t="s">
        <v>86</v>
      </c>
    </row>
    <row r="11">
      <c r="A11" s="38" t="s">
        <v>46</v>
      </c>
      <c r="B11" s="25" t="s">
        <v>47</v>
      </c>
      <c r="C11" s="26" t="s">
        <v>48</v>
      </c>
      <c r="D11" s="26" t="s">
        <v>49</v>
      </c>
      <c r="E11" s="63" t="s">
        <v>86</v>
      </c>
    </row>
    <row r="12">
      <c r="A12" s="38" t="s">
        <v>14</v>
      </c>
      <c r="B12" s="25" t="s">
        <v>15</v>
      </c>
      <c r="C12" s="26" t="s">
        <v>16</v>
      </c>
      <c r="D12" s="26" t="s">
        <v>17</v>
      </c>
      <c r="E12" s="63" t="s">
        <v>86</v>
      </c>
    </row>
    <row r="13">
      <c r="A13" s="38"/>
      <c r="B13" s="25"/>
      <c r="C13" s="26"/>
      <c r="D13" s="26"/>
      <c r="E13" s="63" t="s">
        <v>86</v>
      </c>
    </row>
    <row r="14">
      <c r="A14" s="38"/>
      <c r="B14" s="25"/>
      <c r="C14" s="26"/>
      <c r="D14" s="26"/>
      <c r="E14" s="63" t="s">
        <v>86</v>
      </c>
    </row>
    <row r="15">
      <c r="A15" s="38"/>
      <c r="B15" s="25"/>
      <c r="C15" s="26"/>
      <c r="D15" s="60"/>
      <c r="E15" s="63" t="s">
        <v>86</v>
      </c>
    </row>
    <row r="16">
      <c r="A16" s="38"/>
      <c r="B16" s="25"/>
      <c r="C16" s="26"/>
      <c r="D16" s="60"/>
      <c r="E16" s="63" t="s">
        <v>86</v>
      </c>
    </row>
    <row r="17">
      <c r="A17" s="38"/>
      <c r="B17" s="25"/>
      <c r="C17" s="26"/>
      <c r="D17" s="60"/>
      <c r="E17" s="63" t="s">
        <v>86</v>
      </c>
    </row>
    <row r="18">
      <c r="A18" s="61"/>
      <c r="B18" s="61"/>
      <c r="C18" s="62"/>
      <c r="D18" s="63"/>
      <c r="E18" s="63" t="s">
        <v>86</v>
      </c>
    </row>
    <row r="20">
      <c r="A20" s="64" t="s">
        <v>87</v>
      </c>
      <c r="B20" s="2"/>
      <c r="C20" s="2"/>
      <c r="D20" s="2"/>
      <c r="E20" s="2"/>
      <c r="F20" s="2"/>
      <c r="G20" s="2"/>
      <c r="H20" s="2"/>
      <c r="I20" s="2"/>
      <c r="J20" s="3"/>
    </row>
    <row r="21">
      <c r="A21" s="65" t="s">
        <v>88</v>
      </c>
      <c r="B21" s="66" t="s">
        <v>89</v>
      </c>
      <c r="C21" s="3"/>
      <c r="D21" s="67" t="s">
        <v>2</v>
      </c>
      <c r="E21" s="68"/>
      <c r="F21" s="68"/>
      <c r="G21" s="68"/>
      <c r="H21" s="69"/>
      <c r="I21" s="70" t="s">
        <v>90</v>
      </c>
      <c r="J21" s="71"/>
    </row>
    <row r="22">
      <c r="A22" s="72"/>
      <c r="B22" s="73" t="s">
        <v>4</v>
      </c>
      <c r="C22" s="74" t="s">
        <v>5</v>
      </c>
      <c r="D22" s="75" t="s">
        <v>91</v>
      </c>
      <c r="E22" s="76" t="s">
        <v>92</v>
      </c>
      <c r="F22" s="77" t="s">
        <v>93</v>
      </c>
      <c r="G22" s="78" t="s">
        <v>94</v>
      </c>
      <c r="H22" s="74" t="s">
        <v>95</v>
      </c>
      <c r="I22" s="79" t="s">
        <v>9</v>
      </c>
      <c r="J22" s="79" t="s">
        <v>10</v>
      </c>
    </row>
    <row r="23">
      <c r="A23" s="80">
        <v>1.0</v>
      </c>
      <c r="B23" s="15"/>
      <c r="C23" s="81"/>
      <c r="D23" s="82"/>
      <c r="E23" s="83"/>
      <c r="F23" s="83"/>
      <c r="G23" s="83"/>
      <c r="H23" s="84">
        <f>sum(D23:G23)</f>
        <v>0</v>
      </c>
      <c r="I23" s="85">
        <f>countif(D23:G24,10)</f>
        <v>0</v>
      </c>
      <c r="J23" s="85">
        <f>4-I23</f>
        <v>4</v>
      </c>
    </row>
    <row r="24">
      <c r="A24" s="86"/>
      <c r="B24" s="43"/>
      <c r="C24" s="87"/>
      <c r="D24" s="88"/>
      <c r="E24" s="72"/>
      <c r="F24" s="72"/>
      <c r="G24" s="72"/>
      <c r="H24" s="72"/>
      <c r="I24" s="72"/>
      <c r="J24" s="72"/>
    </row>
    <row r="25">
      <c r="A25" s="89">
        <v>2.0</v>
      </c>
      <c r="B25" s="15"/>
      <c r="C25" s="155"/>
      <c r="D25" s="83"/>
      <c r="E25" s="83"/>
      <c r="F25" s="83"/>
      <c r="G25" s="83"/>
      <c r="H25" s="84">
        <f>sum(D25:G25)</f>
        <v>0</v>
      </c>
      <c r="I25" s="85">
        <f>countif(D25:G26,10)</f>
        <v>0</v>
      </c>
      <c r="J25" s="85">
        <f>4-I25</f>
        <v>4</v>
      </c>
    </row>
    <row r="26">
      <c r="A26" s="72"/>
      <c r="B26" s="43"/>
      <c r="C26" s="87"/>
      <c r="D26" s="72"/>
      <c r="E26" s="72"/>
      <c r="F26" s="72"/>
      <c r="G26" s="72"/>
      <c r="H26" s="72"/>
      <c r="I26" s="72"/>
      <c r="J26" s="72"/>
    </row>
    <row r="27">
      <c r="A27" s="90">
        <v>3.0</v>
      </c>
      <c r="B27" s="15"/>
      <c r="C27" s="81"/>
      <c r="D27" s="83"/>
      <c r="E27" s="83"/>
      <c r="F27" s="83"/>
      <c r="G27" s="83"/>
      <c r="H27" s="91">
        <f>sum(D27:G27)</f>
        <v>0</v>
      </c>
      <c r="I27" s="85">
        <f>countif(D27:G28,10)</f>
        <v>0</v>
      </c>
      <c r="J27" s="85">
        <f>4-I27</f>
        <v>4</v>
      </c>
    </row>
    <row r="28">
      <c r="A28" s="72"/>
      <c r="B28" s="156"/>
      <c r="C28" s="87"/>
      <c r="D28" s="72"/>
      <c r="E28" s="72"/>
      <c r="F28" s="72"/>
      <c r="G28" s="72"/>
      <c r="H28" s="72"/>
      <c r="I28" s="72"/>
      <c r="J28" s="72"/>
    </row>
    <row r="29">
      <c r="A29" s="93">
        <v>4.0</v>
      </c>
      <c r="B29" s="15"/>
      <c r="C29" s="81"/>
      <c r="D29" s="83"/>
      <c r="E29" s="83"/>
      <c r="F29" s="83"/>
      <c r="G29" s="83"/>
      <c r="H29" s="84">
        <f>sum(D29:G29)</f>
        <v>0</v>
      </c>
      <c r="I29" s="85">
        <f>countif(D29:G30,10)</f>
        <v>0</v>
      </c>
      <c r="J29" s="85">
        <f>4-I29</f>
        <v>4</v>
      </c>
    </row>
    <row r="30">
      <c r="A30" s="72"/>
      <c r="B30" s="43"/>
      <c r="C30" s="87"/>
      <c r="D30" s="72"/>
      <c r="E30" s="72"/>
      <c r="F30" s="72"/>
      <c r="G30" s="72"/>
      <c r="H30" s="72"/>
      <c r="I30" s="72"/>
      <c r="J30" s="72"/>
    </row>
    <row r="31">
      <c r="A31" s="94">
        <v>5.0</v>
      </c>
      <c r="B31" s="15"/>
      <c r="C31" s="81"/>
      <c r="D31" s="83"/>
      <c r="E31" s="83"/>
      <c r="F31" s="83"/>
      <c r="G31" s="83"/>
      <c r="H31" s="84">
        <f>sum(D31:G31)</f>
        <v>0</v>
      </c>
      <c r="I31" s="85">
        <f>countif(D31:G32,10)</f>
        <v>0</v>
      </c>
      <c r="J31" s="85">
        <f>4-I31</f>
        <v>4</v>
      </c>
    </row>
    <row r="32">
      <c r="A32" s="72"/>
      <c r="B32" s="43"/>
      <c r="C32" s="87"/>
      <c r="D32" s="72"/>
      <c r="E32" s="72"/>
      <c r="F32" s="72"/>
      <c r="G32" s="72"/>
      <c r="H32" s="72"/>
      <c r="I32" s="72"/>
      <c r="J32" s="72"/>
    </row>
    <row r="33">
      <c r="A33" s="95">
        <v>6.0</v>
      </c>
      <c r="B33" s="15"/>
      <c r="C33" s="81"/>
      <c r="D33" s="83"/>
      <c r="E33" s="83"/>
      <c r="F33" s="83"/>
      <c r="G33" s="83"/>
      <c r="H33" s="84">
        <f>sum(D33:G33)</f>
        <v>0</v>
      </c>
      <c r="I33" s="85">
        <f>countif(D33:G34,10)</f>
        <v>0</v>
      </c>
      <c r="J33" s="85">
        <f>4-I33</f>
        <v>4</v>
      </c>
    </row>
    <row r="34">
      <c r="A34" s="72"/>
      <c r="B34" s="43"/>
      <c r="C34" s="87"/>
      <c r="D34" s="72"/>
      <c r="E34" s="72"/>
      <c r="F34" s="72"/>
      <c r="G34" s="72"/>
      <c r="H34" s="72"/>
      <c r="I34" s="72"/>
      <c r="J34" s="72"/>
    </row>
    <row r="35">
      <c r="A35" s="96">
        <v>7.0</v>
      </c>
      <c r="B35" s="97"/>
      <c r="C35" s="98"/>
      <c r="D35" s="83"/>
      <c r="E35" s="83"/>
      <c r="F35" s="83"/>
      <c r="G35" s="83"/>
      <c r="H35" s="84">
        <f>sum(D35:G35)</f>
        <v>0</v>
      </c>
      <c r="I35" s="85">
        <f>countif(D35:G36,10)</f>
        <v>0</v>
      </c>
      <c r="J35" s="85">
        <f>4-I35</f>
        <v>4</v>
      </c>
    </row>
    <row r="36">
      <c r="A36" s="72"/>
      <c r="B36" s="38"/>
      <c r="C36" s="25"/>
      <c r="D36" s="72"/>
      <c r="E36" s="72"/>
      <c r="F36" s="72"/>
      <c r="G36" s="72"/>
      <c r="H36" s="72"/>
      <c r="I36" s="72"/>
      <c r="J36" s="72"/>
    </row>
    <row r="37">
      <c r="A37" s="99">
        <v>8.0</v>
      </c>
      <c r="B37" s="100"/>
      <c r="C37" s="101"/>
      <c r="D37" s="102"/>
      <c r="E37" s="103"/>
      <c r="F37" s="103"/>
      <c r="G37" s="103"/>
      <c r="H37" s="104">
        <f>sum(D37:G37)</f>
        <v>0</v>
      </c>
      <c r="I37" s="85">
        <f>countif(D37:G38,10)</f>
        <v>0</v>
      </c>
      <c r="J37" s="85">
        <f>4-I37</f>
        <v>4</v>
      </c>
    </row>
    <row r="38">
      <c r="A38" s="72"/>
      <c r="B38" s="105"/>
      <c r="C38" s="106"/>
      <c r="D38" s="72"/>
      <c r="E38" s="72"/>
      <c r="F38" s="72"/>
      <c r="G38" s="72"/>
      <c r="H38" s="72"/>
      <c r="I38" s="72"/>
      <c r="J38" s="72"/>
    </row>
    <row r="40">
      <c r="A40" s="67" t="s">
        <v>96</v>
      </c>
      <c r="B40" s="68"/>
      <c r="C40" s="68"/>
      <c r="D40" s="68"/>
      <c r="E40" s="69"/>
      <c r="G40" s="107" t="s">
        <v>97</v>
      </c>
      <c r="H40" s="71"/>
    </row>
    <row r="41">
      <c r="A41" s="108" t="s">
        <v>98</v>
      </c>
      <c r="B41" s="76" t="s">
        <v>99</v>
      </c>
      <c r="C41" s="77" t="s">
        <v>100</v>
      </c>
      <c r="D41" s="65"/>
      <c r="E41" s="109" t="s">
        <v>101</v>
      </c>
      <c r="G41" s="110"/>
      <c r="H41" s="111" t="s">
        <v>102</v>
      </c>
      <c r="I41" s="112"/>
    </row>
    <row r="42">
      <c r="A42" s="113">
        <v>1.0</v>
      </c>
      <c r="B42" s="171"/>
      <c r="C42" s="172"/>
      <c r="D42" s="116"/>
      <c r="E42" s="149"/>
      <c r="G42" s="118"/>
      <c r="H42" s="119" t="s">
        <v>103</v>
      </c>
      <c r="I42" s="112"/>
    </row>
    <row r="43">
      <c r="A43" s="120"/>
      <c r="B43" s="173"/>
      <c r="C43" s="174"/>
      <c r="D43" s="116"/>
      <c r="E43" s="149"/>
      <c r="G43" s="123"/>
      <c r="H43" s="119" t="s">
        <v>104</v>
      </c>
      <c r="I43" s="112"/>
    </row>
    <row r="44">
      <c r="A44" s="86"/>
      <c r="B44" s="175"/>
      <c r="C44" s="176"/>
      <c r="D44" s="116"/>
      <c r="E44" s="149"/>
      <c r="G44" s="126"/>
      <c r="H44" s="127" t="s">
        <v>105</v>
      </c>
      <c r="I44" s="112"/>
    </row>
    <row r="45">
      <c r="A45" s="113">
        <v>2.0</v>
      </c>
      <c r="B45" s="171"/>
      <c r="C45" s="172"/>
      <c r="D45" s="116"/>
      <c r="E45" s="149"/>
      <c r="H45" s="129"/>
      <c r="I45" s="112"/>
    </row>
    <row r="46">
      <c r="A46" s="120"/>
      <c r="B46" s="173"/>
      <c r="C46" s="174"/>
      <c r="D46" s="116"/>
      <c r="E46" s="149"/>
      <c r="H46" s="129"/>
      <c r="I46" s="132"/>
    </row>
    <row r="47">
      <c r="A47" s="86"/>
      <c r="B47" s="175"/>
      <c r="C47" s="176"/>
      <c r="D47" s="116"/>
      <c r="E47" s="149"/>
      <c r="H47" s="129"/>
      <c r="I47" s="132"/>
    </row>
    <row r="48">
      <c r="A48" s="113">
        <v>3.0</v>
      </c>
      <c r="B48" s="171"/>
      <c r="C48" s="172"/>
      <c r="D48" s="116"/>
      <c r="E48" s="149"/>
    </row>
    <row r="49">
      <c r="A49" s="120"/>
      <c r="B49" s="177"/>
      <c r="C49" s="178"/>
      <c r="D49" s="116"/>
      <c r="E49" s="149"/>
    </row>
    <row r="50">
      <c r="A50" s="86"/>
      <c r="B50" s="179"/>
      <c r="C50" s="180"/>
      <c r="D50" s="116"/>
      <c r="E50" s="149"/>
    </row>
    <row r="51">
      <c r="A51" s="113">
        <v>4.0</v>
      </c>
      <c r="B51" s="171"/>
      <c r="C51" s="172"/>
      <c r="D51" s="116"/>
      <c r="E51" s="149"/>
    </row>
    <row r="52">
      <c r="A52" s="120"/>
      <c r="B52" s="175"/>
      <c r="C52" s="176"/>
      <c r="D52" s="116"/>
      <c r="E52" s="149"/>
    </row>
    <row r="53">
      <c r="A53" s="86"/>
      <c r="B53" s="147"/>
      <c r="C53" s="148"/>
      <c r="D53" s="72"/>
      <c r="E53" s="149"/>
    </row>
  </sheetData>
  <mergeCells count="77">
    <mergeCell ref="A21:A22"/>
    <mergeCell ref="A23:A24"/>
    <mergeCell ref="H23:H24"/>
    <mergeCell ref="D23:D24"/>
    <mergeCell ref="E23:E24"/>
    <mergeCell ref="A25:A26"/>
    <mergeCell ref="D25:D26"/>
    <mergeCell ref="H25:H26"/>
    <mergeCell ref="A1:E1"/>
    <mergeCell ref="A20:J20"/>
    <mergeCell ref="B21:C21"/>
    <mergeCell ref="D21:H21"/>
    <mergeCell ref="I21:J21"/>
    <mergeCell ref="J23:J24"/>
    <mergeCell ref="E25:E26"/>
    <mergeCell ref="H29:H30"/>
    <mergeCell ref="I29:I30"/>
    <mergeCell ref="H27:H28"/>
    <mergeCell ref="I27:I28"/>
    <mergeCell ref="J27:J28"/>
    <mergeCell ref="D27:D28"/>
    <mergeCell ref="E27:E28"/>
    <mergeCell ref="D29:D30"/>
    <mergeCell ref="E29:E30"/>
    <mergeCell ref="J29:J30"/>
    <mergeCell ref="H37:H38"/>
    <mergeCell ref="G40:H40"/>
    <mergeCell ref="D37:D38"/>
    <mergeCell ref="E37:E38"/>
    <mergeCell ref="F37:F38"/>
    <mergeCell ref="G37:G38"/>
    <mergeCell ref="I37:I38"/>
    <mergeCell ref="J37:J38"/>
    <mergeCell ref="D41:D53"/>
    <mergeCell ref="A45:A47"/>
    <mergeCell ref="A42:A44"/>
    <mergeCell ref="A48:A50"/>
    <mergeCell ref="A51:A53"/>
    <mergeCell ref="A27:A28"/>
    <mergeCell ref="A29:A30"/>
    <mergeCell ref="A31:A32"/>
    <mergeCell ref="A33:A34"/>
    <mergeCell ref="A37:A38"/>
    <mergeCell ref="D33:D34"/>
    <mergeCell ref="E33:E34"/>
    <mergeCell ref="F33:F34"/>
    <mergeCell ref="G33:G34"/>
    <mergeCell ref="H33:H34"/>
    <mergeCell ref="I33:I34"/>
    <mergeCell ref="J33:J34"/>
    <mergeCell ref="D31:D32"/>
    <mergeCell ref="E31:E32"/>
    <mergeCell ref="F31:F32"/>
    <mergeCell ref="G31:G32"/>
    <mergeCell ref="H31:H32"/>
    <mergeCell ref="I31:I32"/>
    <mergeCell ref="J31:J32"/>
    <mergeCell ref="I25:I26"/>
    <mergeCell ref="J25:J26"/>
    <mergeCell ref="F23:F24"/>
    <mergeCell ref="G23:G24"/>
    <mergeCell ref="F25:F26"/>
    <mergeCell ref="G25:G26"/>
    <mergeCell ref="F27:F28"/>
    <mergeCell ref="G27:G28"/>
    <mergeCell ref="I23:I24"/>
    <mergeCell ref="F29:F30"/>
    <mergeCell ref="G29:G30"/>
    <mergeCell ref="D35:D36"/>
    <mergeCell ref="A35:A36"/>
    <mergeCell ref="E35:E36"/>
    <mergeCell ref="F35:F36"/>
    <mergeCell ref="G35:G36"/>
    <mergeCell ref="H35:H36"/>
    <mergeCell ref="I35:I36"/>
    <mergeCell ref="J35:J36"/>
    <mergeCell ref="A40:E4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2025-09-05T21:37:22Z</dcterms:created>
  <dc:creator>Homer Butcher</dc:creator>
</cp:coreProperties>
</file>